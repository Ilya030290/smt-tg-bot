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-Primary\User Folders\IAnoshko\Desktop\Telegram_Bot\"/>
    </mc:Choice>
  </mc:AlternateContent>
  <xr:revisionPtr revIDLastSave="0" documentId="13_ncr:1_{B04878CC-AB73-429D-B8AF-E3D76AFDF50E}" xr6:coauthVersionLast="47" xr6:coauthVersionMax="47" xr10:uidLastSave="{00000000-0000-0000-0000-000000000000}"/>
  <bookViews>
    <workbookView xWindow="-120" yWindow="-120" windowWidth="29040" windowHeight="15840" tabRatio="653" xr2:uid="{00000000-000D-0000-FFFF-FFFF00000000}"/>
  </bookViews>
  <sheets>
    <sheet name="Project Data" sheetId="11" r:id="rId1"/>
    <sheet name="PNPwizard" sheetId="1" r:id="rId2"/>
    <sheet name="Chart" sheetId="13" r:id="rId3"/>
    <sheet name="BOMsorter" sheetId="12" r:id="rId4"/>
    <sheet name="Centroid to XY" sheetId="5" r:id="rId5"/>
    <sheet name="StencilCalc" sheetId="8" r:id="rId6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1" l="1"/>
  <c r="N9" i="11" s="1"/>
  <c r="M6" i="11"/>
  <c r="M10" i="11" s="1"/>
  <c r="N8" i="11" l="1"/>
  <c r="M9" i="11"/>
  <c r="M3" i="11"/>
  <c r="N3" i="11"/>
  <c r="N2" i="11"/>
  <c r="M2" i="11"/>
  <c r="C4" i="5" l="1"/>
  <c r="D4" i="5"/>
  <c r="E4" i="5"/>
  <c r="F4" i="5"/>
  <c r="C5" i="5"/>
  <c r="D5" i="5"/>
  <c r="E5" i="5"/>
  <c r="F5" i="5"/>
  <c r="C6" i="5"/>
  <c r="D6" i="5"/>
  <c r="E6" i="5"/>
  <c r="F6" i="5"/>
  <c r="C7" i="5"/>
  <c r="D7" i="5"/>
  <c r="E7" i="5"/>
  <c r="F7" i="5"/>
  <c r="C8" i="5"/>
  <c r="D8" i="5"/>
  <c r="E8" i="5"/>
  <c r="F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C54" i="5"/>
  <c r="D54" i="5"/>
  <c r="E54" i="5"/>
  <c r="F54" i="5"/>
  <c r="C55" i="5"/>
  <c r="D55" i="5"/>
  <c r="E55" i="5"/>
  <c r="F55" i="5"/>
  <c r="C56" i="5"/>
  <c r="D56" i="5"/>
  <c r="E56" i="5"/>
  <c r="F56" i="5"/>
  <c r="C57" i="5"/>
  <c r="D57" i="5"/>
  <c r="E57" i="5"/>
  <c r="F57" i="5"/>
  <c r="C58" i="5"/>
  <c r="D58" i="5"/>
  <c r="E58" i="5"/>
  <c r="F58" i="5"/>
  <c r="C59" i="5"/>
  <c r="D59" i="5"/>
  <c r="E59" i="5"/>
  <c r="F59" i="5"/>
  <c r="C60" i="5"/>
  <c r="D60" i="5"/>
  <c r="E60" i="5"/>
  <c r="F60" i="5"/>
  <c r="C61" i="5"/>
  <c r="D61" i="5"/>
  <c r="E61" i="5"/>
  <c r="F61" i="5"/>
  <c r="C62" i="5"/>
  <c r="D62" i="5"/>
  <c r="E62" i="5"/>
  <c r="F62" i="5"/>
  <c r="C63" i="5"/>
  <c r="D63" i="5"/>
  <c r="E63" i="5"/>
  <c r="F63" i="5"/>
  <c r="C64" i="5"/>
  <c r="D64" i="5"/>
  <c r="E64" i="5"/>
  <c r="F64" i="5"/>
  <c r="C65" i="5"/>
  <c r="D65" i="5"/>
  <c r="E65" i="5"/>
  <c r="F65" i="5"/>
  <c r="C66" i="5"/>
  <c r="D66" i="5"/>
  <c r="E66" i="5"/>
  <c r="F66" i="5"/>
  <c r="C67" i="5"/>
  <c r="D67" i="5"/>
  <c r="E67" i="5"/>
  <c r="F67" i="5"/>
  <c r="C68" i="5"/>
  <c r="D68" i="5"/>
  <c r="E68" i="5"/>
  <c r="F68" i="5"/>
  <c r="C69" i="5"/>
  <c r="D69" i="5"/>
  <c r="E69" i="5"/>
  <c r="F69" i="5"/>
  <c r="C70" i="5"/>
  <c r="D70" i="5"/>
  <c r="E70" i="5"/>
  <c r="F70" i="5"/>
  <c r="C71" i="5"/>
  <c r="D71" i="5"/>
  <c r="E71" i="5"/>
  <c r="F71" i="5"/>
  <c r="C72" i="5"/>
  <c r="D72" i="5"/>
  <c r="E72" i="5"/>
  <c r="F72" i="5"/>
  <c r="C73" i="5"/>
  <c r="D73" i="5"/>
  <c r="E73" i="5"/>
  <c r="F73" i="5"/>
  <c r="C74" i="5"/>
  <c r="D74" i="5"/>
  <c r="E74" i="5"/>
  <c r="F74" i="5"/>
  <c r="C75" i="5"/>
  <c r="D75" i="5"/>
  <c r="E75" i="5"/>
  <c r="F75" i="5"/>
  <c r="C76" i="5"/>
  <c r="D76" i="5"/>
  <c r="E76" i="5"/>
  <c r="F76" i="5"/>
  <c r="C77" i="5"/>
  <c r="D77" i="5"/>
  <c r="E77" i="5"/>
  <c r="F77" i="5"/>
  <c r="C78" i="5"/>
  <c r="D78" i="5"/>
  <c r="E78" i="5"/>
  <c r="F78" i="5"/>
  <c r="C79" i="5"/>
  <c r="D79" i="5"/>
  <c r="E79" i="5"/>
  <c r="F79" i="5"/>
  <c r="C80" i="5"/>
  <c r="D80" i="5"/>
  <c r="E80" i="5"/>
  <c r="F80" i="5"/>
  <c r="C81" i="5"/>
  <c r="D81" i="5"/>
  <c r="E81" i="5"/>
  <c r="F81" i="5"/>
  <c r="C82" i="5"/>
  <c r="D82" i="5"/>
  <c r="E82" i="5"/>
  <c r="F82" i="5"/>
  <c r="C83" i="5"/>
  <c r="D83" i="5"/>
  <c r="E83" i="5"/>
  <c r="F83" i="5"/>
  <c r="C84" i="5"/>
  <c r="D84" i="5"/>
  <c r="E84" i="5"/>
  <c r="F84" i="5"/>
  <c r="C85" i="5"/>
  <c r="D85" i="5"/>
  <c r="E85" i="5"/>
  <c r="F85" i="5"/>
  <c r="C86" i="5"/>
  <c r="D86" i="5"/>
  <c r="E86" i="5"/>
  <c r="F86" i="5"/>
  <c r="C87" i="5"/>
  <c r="D87" i="5"/>
  <c r="E87" i="5"/>
  <c r="F87" i="5"/>
  <c r="C88" i="5"/>
  <c r="D88" i="5"/>
  <c r="E88" i="5"/>
  <c r="F88" i="5"/>
  <c r="C89" i="5"/>
  <c r="D89" i="5"/>
  <c r="E89" i="5"/>
  <c r="F89" i="5"/>
  <c r="C90" i="5"/>
  <c r="D90" i="5"/>
  <c r="E90" i="5"/>
  <c r="F90" i="5"/>
  <c r="C91" i="5"/>
  <c r="D91" i="5"/>
  <c r="E91" i="5"/>
  <c r="F91" i="5"/>
  <c r="C92" i="5"/>
  <c r="D92" i="5"/>
  <c r="E92" i="5"/>
  <c r="F92" i="5"/>
  <c r="C93" i="5"/>
  <c r="D93" i="5"/>
  <c r="E93" i="5"/>
  <c r="F93" i="5"/>
  <c r="C94" i="5"/>
  <c r="D94" i="5"/>
  <c r="E94" i="5"/>
  <c r="F94" i="5"/>
  <c r="C95" i="5"/>
  <c r="D95" i="5"/>
  <c r="E95" i="5"/>
  <c r="F95" i="5"/>
  <c r="C96" i="5"/>
  <c r="D96" i="5"/>
  <c r="E96" i="5"/>
  <c r="F96" i="5"/>
  <c r="C97" i="5"/>
  <c r="D97" i="5"/>
  <c r="E97" i="5"/>
  <c r="F97" i="5"/>
  <c r="C98" i="5"/>
  <c r="D98" i="5"/>
  <c r="E98" i="5"/>
  <c r="F98" i="5"/>
  <c r="C99" i="5"/>
  <c r="D99" i="5"/>
  <c r="E99" i="5"/>
  <c r="F99" i="5"/>
  <c r="C100" i="5"/>
  <c r="D100" i="5"/>
  <c r="E100" i="5"/>
  <c r="F100" i="5"/>
  <c r="C101" i="5"/>
  <c r="D101" i="5"/>
  <c r="E101" i="5"/>
  <c r="F101" i="5"/>
  <c r="C102" i="5"/>
  <c r="D102" i="5"/>
  <c r="E102" i="5"/>
  <c r="F102" i="5"/>
  <c r="C103" i="5"/>
  <c r="D103" i="5"/>
  <c r="E103" i="5"/>
  <c r="F103" i="5"/>
  <c r="C104" i="5"/>
  <c r="D104" i="5"/>
  <c r="E104" i="5"/>
  <c r="F104" i="5"/>
  <c r="C105" i="5"/>
  <c r="D105" i="5"/>
  <c r="E105" i="5"/>
  <c r="F105" i="5"/>
  <c r="C106" i="5"/>
  <c r="D106" i="5"/>
  <c r="E106" i="5"/>
  <c r="F106" i="5"/>
  <c r="C107" i="5"/>
  <c r="D107" i="5"/>
  <c r="E107" i="5"/>
  <c r="F107" i="5"/>
  <c r="C108" i="5"/>
  <c r="D108" i="5"/>
  <c r="E108" i="5"/>
  <c r="F108" i="5"/>
  <c r="C109" i="5"/>
  <c r="D109" i="5"/>
  <c r="E109" i="5"/>
  <c r="F109" i="5"/>
  <c r="C110" i="5"/>
  <c r="D110" i="5"/>
  <c r="E110" i="5"/>
  <c r="F110" i="5"/>
  <c r="C111" i="5"/>
  <c r="D111" i="5"/>
  <c r="E111" i="5"/>
  <c r="F111" i="5"/>
  <c r="C112" i="5"/>
  <c r="D112" i="5"/>
  <c r="E112" i="5"/>
  <c r="F112" i="5"/>
  <c r="C113" i="5"/>
  <c r="D113" i="5"/>
  <c r="E113" i="5"/>
  <c r="F113" i="5"/>
  <c r="C114" i="5"/>
  <c r="D114" i="5"/>
  <c r="E114" i="5"/>
  <c r="F114" i="5"/>
  <c r="C115" i="5"/>
  <c r="D115" i="5"/>
  <c r="E115" i="5"/>
  <c r="F115" i="5"/>
  <c r="C116" i="5"/>
  <c r="D116" i="5"/>
  <c r="E116" i="5"/>
  <c r="F116" i="5"/>
  <c r="C117" i="5"/>
  <c r="D117" i="5"/>
  <c r="E117" i="5"/>
  <c r="F117" i="5"/>
  <c r="C118" i="5"/>
  <c r="D118" i="5"/>
  <c r="E118" i="5"/>
  <c r="F118" i="5"/>
  <c r="C119" i="5"/>
  <c r="D119" i="5"/>
  <c r="E119" i="5"/>
  <c r="F119" i="5"/>
  <c r="C120" i="5"/>
  <c r="D120" i="5"/>
  <c r="E120" i="5"/>
  <c r="F120" i="5"/>
  <c r="C121" i="5"/>
  <c r="D121" i="5"/>
  <c r="E121" i="5"/>
  <c r="F121" i="5"/>
  <c r="C122" i="5"/>
  <c r="D122" i="5"/>
  <c r="E122" i="5"/>
  <c r="F122" i="5"/>
  <c r="C123" i="5"/>
  <c r="D123" i="5"/>
  <c r="E123" i="5"/>
  <c r="F123" i="5"/>
  <c r="C124" i="5"/>
  <c r="D124" i="5"/>
  <c r="E124" i="5"/>
  <c r="F124" i="5"/>
  <c r="C125" i="5"/>
  <c r="D125" i="5"/>
  <c r="E125" i="5"/>
  <c r="F125" i="5"/>
  <c r="C126" i="5"/>
  <c r="D126" i="5"/>
  <c r="E126" i="5"/>
  <c r="F126" i="5"/>
  <c r="C127" i="5"/>
  <c r="D127" i="5"/>
  <c r="E127" i="5"/>
  <c r="F127" i="5"/>
  <c r="C128" i="5"/>
  <c r="D128" i="5"/>
  <c r="E128" i="5"/>
  <c r="F128" i="5"/>
  <c r="C129" i="5"/>
  <c r="D129" i="5"/>
  <c r="E129" i="5"/>
  <c r="F129" i="5"/>
  <c r="C130" i="5"/>
  <c r="D130" i="5"/>
  <c r="E130" i="5"/>
  <c r="F130" i="5"/>
  <c r="C131" i="5"/>
  <c r="D131" i="5"/>
  <c r="E131" i="5"/>
  <c r="F131" i="5"/>
  <c r="C132" i="5"/>
  <c r="D132" i="5"/>
  <c r="E132" i="5"/>
  <c r="F132" i="5"/>
  <c r="C133" i="5"/>
  <c r="D133" i="5"/>
  <c r="E133" i="5"/>
  <c r="F133" i="5"/>
  <c r="C134" i="5"/>
  <c r="D134" i="5"/>
  <c r="E134" i="5"/>
  <c r="F134" i="5"/>
  <c r="C135" i="5"/>
  <c r="D135" i="5"/>
  <c r="E135" i="5"/>
  <c r="F135" i="5"/>
  <c r="C136" i="5"/>
  <c r="D136" i="5"/>
  <c r="E136" i="5"/>
  <c r="F136" i="5"/>
  <c r="C137" i="5"/>
  <c r="D137" i="5"/>
  <c r="E137" i="5"/>
  <c r="F137" i="5"/>
  <c r="C138" i="5"/>
  <c r="D138" i="5"/>
  <c r="E138" i="5"/>
  <c r="F138" i="5"/>
  <c r="C139" i="5"/>
  <c r="D139" i="5"/>
  <c r="E139" i="5"/>
  <c r="F139" i="5"/>
  <c r="C140" i="5"/>
  <c r="D140" i="5"/>
  <c r="E140" i="5"/>
  <c r="F140" i="5"/>
  <c r="C141" i="5"/>
  <c r="D141" i="5"/>
  <c r="E141" i="5"/>
  <c r="F141" i="5"/>
  <c r="C142" i="5"/>
  <c r="D142" i="5"/>
  <c r="E142" i="5"/>
  <c r="F142" i="5"/>
  <c r="C143" i="5"/>
  <c r="D143" i="5"/>
  <c r="E143" i="5"/>
  <c r="F143" i="5"/>
  <c r="C144" i="5"/>
  <c r="D144" i="5"/>
  <c r="E144" i="5"/>
  <c r="F144" i="5"/>
  <c r="C145" i="5"/>
  <c r="D145" i="5"/>
  <c r="E145" i="5"/>
  <c r="F145" i="5"/>
  <c r="C146" i="5"/>
  <c r="D146" i="5"/>
  <c r="E146" i="5"/>
  <c r="F146" i="5"/>
  <c r="C147" i="5"/>
  <c r="D147" i="5"/>
  <c r="E147" i="5"/>
  <c r="F147" i="5"/>
  <c r="C148" i="5"/>
  <c r="D148" i="5"/>
  <c r="E148" i="5"/>
  <c r="F148" i="5"/>
  <c r="C149" i="5"/>
  <c r="D149" i="5"/>
  <c r="E149" i="5"/>
  <c r="F149" i="5"/>
  <c r="C150" i="5"/>
  <c r="D150" i="5"/>
  <c r="E150" i="5"/>
  <c r="F150" i="5"/>
  <c r="C151" i="5"/>
  <c r="D151" i="5"/>
  <c r="E151" i="5"/>
  <c r="F151" i="5"/>
  <c r="C152" i="5"/>
  <c r="D152" i="5"/>
  <c r="E152" i="5"/>
  <c r="F152" i="5"/>
  <c r="C153" i="5"/>
  <c r="D153" i="5"/>
  <c r="E153" i="5"/>
  <c r="F153" i="5"/>
  <c r="C154" i="5"/>
  <c r="D154" i="5"/>
  <c r="E154" i="5"/>
  <c r="F154" i="5"/>
  <c r="C155" i="5"/>
  <c r="D155" i="5"/>
  <c r="E155" i="5"/>
  <c r="F155" i="5"/>
  <c r="C156" i="5"/>
  <c r="D156" i="5"/>
  <c r="E156" i="5"/>
  <c r="F156" i="5"/>
  <c r="C157" i="5"/>
  <c r="D157" i="5"/>
  <c r="E157" i="5"/>
  <c r="F157" i="5"/>
  <c r="C158" i="5"/>
  <c r="D158" i="5"/>
  <c r="E158" i="5"/>
  <c r="F158" i="5"/>
  <c r="C159" i="5"/>
  <c r="D159" i="5"/>
  <c r="E159" i="5"/>
  <c r="F159" i="5"/>
  <c r="C160" i="5"/>
  <c r="D160" i="5"/>
  <c r="E160" i="5"/>
  <c r="F160" i="5"/>
  <c r="C161" i="5"/>
  <c r="D161" i="5"/>
  <c r="E161" i="5"/>
  <c r="F161" i="5"/>
  <c r="C162" i="5"/>
  <c r="D162" i="5"/>
  <c r="E162" i="5"/>
  <c r="F162" i="5"/>
  <c r="C163" i="5"/>
  <c r="D163" i="5"/>
  <c r="E163" i="5"/>
  <c r="F163" i="5"/>
  <c r="C164" i="5"/>
  <c r="D164" i="5"/>
  <c r="E164" i="5"/>
  <c r="F164" i="5"/>
  <c r="C165" i="5"/>
  <c r="D165" i="5"/>
  <c r="E165" i="5"/>
  <c r="F165" i="5"/>
  <c r="C166" i="5"/>
  <c r="D166" i="5"/>
  <c r="E166" i="5"/>
  <c r="F166" i="5"/>
  <c r="C167" i="5"/>
  <c r="D167" i="5"/>
  <c r="E167" i="5"/>
  <c r="F167" i="5"/>
  <c r="C168" i="5"/>
  <c r="D168" i="5"/>
  <c r="E168" i="5"/>
  <c r="F168" i="5"/>
  <c r="C169" i="5"/>
  <c r="D169" i="5"/>
  <c r="E169" i="5"/>
  <c r="F169" i="5"/>
  <c r="C170" i="5"/>
  <c r="D170" i="5"/>
  <c r="E170" i="5"/>
  <c r="F170" i="5"/>
  <c r="C171" i="5"/>
  <c r="D171" i="5"/>
  <c r="E171" i="5"/>
  <c r="F171" i="5"/>
  <c r="C172" i="5"/>
  <c r="D172" i="5"/>
  <c r="E172" i="5"/>
  <c r="F172" i="5"/>
  <c r="C173" i="5"/>
  <c r="D173" i="5"/>
  <c r="E173" i="5"/>
  <c r="F173" i="5"/>
  <c r="C174" i="5"/>
  <c r="D174" i="5"/>
  <c r="E174" i="5"/>
  <c r="F174" i="5"/>
  <c r="C175" i="5"/>
  <c r="D175" i="5"/>
  <c r="E175" i="5"/>
  <c r="F175" i="5"/>
  <c r="C176" i="5"/>
  <c r="D176" i="5"/>
  <c r="E176" i="5"/>
  <c r="F176" i="5"/>
  <c r="C177" i="5"/>
  <c r="D177" i="5"/>
  <c r="E177" i="5"/>
  <c r="F177" i="5"/>
  <c r="C178" i="5"/>
  <c r="D178" i="5"/>
  <c r="E178" i="5"/>
  <c r="F178" i="5"/>
  <c r="C179" i="5"/>
  <c r="D179" i="5"/>
  <c r="E179" i="5"/>
  <c r="F179" i="5"/>
  <c r="C180" i="5"/>
  <c r="D180" i="5"/>
  <c r="E180" i="5"/>
  <c r="F180" i="5"/>
  <c r="C181" i="5"/>
  <c r="D181" i="5"/>
  <c r="E181" i="5"/>
  <c r="F181" i="5"/>
  <c r="C182" i="5"/>
  <c r="D182" i="5"/>
  <c r="E182" i="5"/>
  <c r="F182" i="5"/>
  <c r="C183" i="5"/>
  <c r="D183" i="5"/>
  <c r="E183" i="5"/>
  <c r="F183" i="5"/>
  <c r="C184" i="5"/>
  <c r="D184" i="5"/>
  <c r="E184" i="5"/>
  <c r="F184" i="5"/>
  <c r="C185" i="5"/>
  <c r="D185" i="5"/>
  <c r="E185" i="5"/>
  <c r="F185" i="5"/>
  <c r="C186" i="5"/>
  <c r="D186" i="5"/>
  <c r="E186" i="5"/>
  <c r="F186" i="5"/>
  <c r="C187" i="5"/>
  <c r="D187" i="5"/>
  <c r="E187" i="5"/>
  <c r="F187" i="5"/>
  <c r="C188" i="5"/>
  <c r="D188" i="5"/>
  <c r="E188" i="5"/>
  <c r="F188" i="5"/>
  <c r="C189" i="5"/>
  <c r="D189" i="5"/>
  <c r="E189" i="5"/>
  <c r="F189" i="5"/>
  <c r="C190" i="5"/>
  <c r="D190" i="5"/>
  <c r="E190" i="5"/>
  <c r="F190" i="5"/>
  <c r="C191" i="5"/>
  <c r="D191" i="5"/>
  <c r="E191" i="5"/>
  <c r="F191" i="5"/>
  <c r="C192" i="5"/>
  <c r="D192" i="5"/>
  <c r="E192" i="5"/>
  <c r="F192" i="5"/>
  <c r="C193" i="5"/>
  <c r="D193" i="5"/>
  <c r="E193" i="5"/>
  <c r="F193" i="5"/>
  <c r="C194" i="5"/>
  <c r="D194" i="5"/>
  <c r="E194" i="5"/>
  <c r="F194" i="5"/>
  <c r="C195" i="5"/>
  <c r="D195" i="5"/>
  <c r="E195" i="5"/>
  <c r="F195" i="5"/>
  <c r="C196" i="5"/>
  <c r="D196" i="5"/>
  <c r="E196" i="5"/>
  <c r="F196" i="5"/>
  <c r="C197" i="5"/>
  <c r="D197" i="5"/>
  <c r="E197" i="5"/>
  <c r="F197" i="5"/>
  <c r="C198" i="5"/>
  <c r="D198" i="5"/>
  <c r="E198" i="5"/>
  <c r="F198" i="5"/>
  <c r="C199" i="5"/>
  <c r="D199" i="5"/>
  <c r="E199" i="5"/>
  <c r="F199" i="5"/>
  <c r="C200" i="5"/>
  <c r="D200" i="5"/>
  <c r="E200" i="5"/>
  <c r="F200" i="5"/>
  <c r="F3" i="5"/>
  <c r="E3" i="5"/>
  <c r="D3" i="5"/>
  <c r="C3" i="5"/>
  <c r="D3" i="8"/>
  <c r="B7" i="8" s="1"/>
  <c r="D4" i="8"/>
  <c r="B6" i="8"/>
</calcChain>
</file>

<file path=xl/sharedStrings.xml><?xml version="1.0" encoding="utf-8"?>
<sst xmlns="http://schemas.openxmlformats.org/spreadsheetml/2006/main" count="739" uniqueCount="495">
  <si>
    <t>LocationX</t>
  </si>
  <si>
    <t>LocationY</t>
  </si>
  <si>
    <t>Rotation</t>
  </si>
  <si>
    <t>RefDes</t>
  </si>
  <si>
    <t>NewX</t>
  </si>
  <si>
    <t>NewY</t>
  </si>
  <si>
    <t>Centroid</t>
  </si>
  <si>
    <t>SOIC8</t>
  </si>
  <si>
    <t>SOT223</t>
  </si>
  <si>
    <t>0805</t>
  </si>
  <si>
    <t>1206</t>
  </si>
  <si>
    <t>SOT23</t>
  </si>
  <si>
    <t>LED0805</t>
  </si>
  <si>
    <t>SMB</t>
  </si>
  <si>
    <t>SMA</t>
  </si>
  <si>
    <t>Value</t>
  </si>
  <si>
    <t>≥66%</t>
  </si>
  <si>
    <t>Area ratio</t>
  </si>
  <si>
    <t>≥150%</t>
  </si>
  <si>
    <t>Aspect ratio</t>
  </si>
  <si>
    <t>Pad</t>
  </si>
  <si>
    <t>Aperture (oblong)</t>
  </si>
  <si>
    <t>S</t>
  </si>
  <si>
    <t>W</t>
  </si>
  <si>
    <t>L</t>
  </si>
  <si>
    <t>mm</t>
  </si>
  <si>
    <t>Stensil thickness</t>
  </si>
  <si>
    <t>X</t>
  </si>
  <si>
    <t>Y</t>
  </si>
  <si>
    <t>0603</t>
  </si>
  <si>
    <t>0201</t>
  </si>
  <si>
    <t>0402</t>
  </si>
  <si>
    <t>1812</t>
  </si>
  <si>
    <t>1210</t>
  </si>
  <si>
    <t>CAY10</t>
  </si>
  <si>
    <t>NFA31</t>
  </si>
  <si>
    <t>NFE61</t>
  </si>
  <si>
    <t>SRU2013</t>
  </si>
  <si>
    <t>T1206</t>
  </si>
  <si>
    <t xml:space="preserve">Angle for non-polar comp: </t>
  </si>
  <si>
    <t xml:space="preserve">Template file: </t>
  </si>
  <si>
    <t xml:space="preserve">Destination directory: </t>
  </si>
  <si>
    <t>D0805</t>
  </si>
  <si>
    <t xml:space="preserve">PCB offset from zero (dX,dY): </t>
  </si>
  <si>
    <t xml:space="preserve">Project name: </t>
  </si>
  <si>
    <t xml:space="preserve">PCB dimensions (X x Y): </t>
  </si>
  <si>
    <t>Quantity</t>
  </si>
  <si>
    <t>Block name</t>
  </si>
  <si>
    <t>Block value</t>
  </si>
  <si>
    <t>SortLetter</t>
  </si>
  <si>
    <t>SortNumber</t>
  </si>
  <si>
    <t>ReplaceWith</t>
  </si>
  <si>
    <t>ToFind</t>
  </si>
  <si>
    <t>_</t>
  </si>
  <si>
    <t>$1$3$2_</t>
  </si>
  <si>
    <t>$1.0$2</t>
  </si>
  <si>
    <t>$1_</t>
  </si>
  <si>
    <t>_SOT2$1</t>
  </si>
  <si>
    <t>_SMA</t>
  </si>
  <si>
    <t>$1</t>
  </si>
  <si>
    <t>_SOIC$1</t>
  </si>
  <si>
    <t>$1.$2k$3</t>
  </si>
  <si>
    <t>$1.$2M$3</t>
  </si>
  <si>
    <t>$1.$2p$3</t>
  </si>
  <si>
    <t>$1k$2</t>
  </si>
  <si>
    <t>$1n$2</t>
  </si>
  <si>
    <t>$1p$2</t>
  </si>
  <si>
    <t>$1uH$2</t>
  </si>
  <si>
    <t>_L$1</t>
  </si>
  <si>
    <t>_D$1</t>
  </si>
  <si>
    <t>$1MHz$2</t>
  </si>
  <si>
    <t>$1MHZ$2</t>
  </si>
  <si>
    <t>SOIC14</t>
  </si>
  <si>
    <t>F1206</t>
  </si>
  <si>
    <t>Blocks</t>
  </si>
  <si>
    <t>BGA179</t>
  </si>
  <si>
    <t>BGA257</t>
  </si>
  <si>
    <t>BNX-022</t>
  </si>
  <si>
    <t>D2-PAK</t>
  </si>
  <si>
    <t>DO35</t>
  </si>
  <si>
    <t>D-PAK</t>
  </si>
  <si>
    <t>F1812</t>
  </si>
  <si>
    <t>KA4040</t>
  </si>
  <si>
    <t>LED0603</t>
  </si>
  <si>
    <t>LLP75-6L</t>
  </si>
  <si>
    <t>MC306</t>
  </si>
  <si>
    <t>POWERDI5</t>
  </si>
  <si>
    <t>PPAK1212-8</t>
  </si>
  <si>
    <t>QFN56-TLA</t>
  </si>
  <si>
    <t>SMC</t>
  </si>
  <si>
    <t>SOD123FL</t>
  </si>
  <si>
    <t>SOD523</t>
  </si>
  <si>
    <t>SOD80</t>
  </si>
  <si>
    <t>SOIC16</t>
  </si>
  <si>
    <t>SOP4</t>
  </si>
  <si>
    <t>SOT143</t>
  </si>
  <si>
    <t>SOT25</t>
  </si>
  <si>
    <t>SOT26</t>
  </si>
  <si>
    <t>SOT353</t>
  </si>
  <si>
    <t>SOT363</t>
  </si>
  <si>
    <t>SRU3017</t>
  </si>
  <si>
    <t>SRU5028</t>
  </si>
  <si>
    <t>TSMF-TEMD1000</t>
  </si>
  <si>
    <t>Polarity</t>
  </si>
  <si>
    <t>No</t>
  </si>
  <si>
    <t>Yes</t>
  </si>
  <si>
    <t>$1$2</t>
  </si>
  <si>
    <t>$1R_$2</t>
  </si>
  <si>
    <t>_MVE-$155</t>
  </si>
  <si>
    <t>_CSTCE-V</t>
  </si>
  <si>
    <t>_F$1</t>
  </si>
  <si>
    <t>_SO$1$2</t>
  </si>
  <si>
    <t>QFN$1</t>
  </si>
  <si>
    <t>$1.$2$3</t>
  </si>
  <si>
    <t>DIP8-SMD</t>
  </si>
  <si>
    <t>AEC--MVE-E55</t>
  </si>
  <si>
    <t>AEC--MVE-F55</t>
  </si>
  <si>
    <t>C--RM5</t>
  </si>
  <si>
    <t>L--DR125</t>
  </si>
  <si>
    <t>L--DR74</t>
  </si>
  <si>
    <t>L--L1040</t>
  </si>
  <si>
    <t>Q--CSTCE</t>
  </si>
  <si>
    <t>Q--HC49SMD</t>
  </si>
  <si>
    <t>RP--RD901F</t>
  </si>
  <si>
    <t>RP--RD902F</t>
  </si>
  <si>
    <t>RP--RKT6V</t>
  </si>
  <si>
    <t>RP--RV09AF</t>
  </si>
  <si>
    <t>SW--DPDT</t>
  </si>
  <si>
    <t>SW--SPDT</t>
  </si>
  <si>
    <t>SW--SPST</t>
  </si>
  <si>
    <t>TC--A</t>
  </si>
  <si>
    <t>TC--D</t>
  </si>
  <si>
    <t>TUBE--1J24B</t>
  </si>
  <si>
    <t>TUBE--ECC83</t>
  </si>
  <si>
    <t>X--3.5MM-JACK</t>
  </si>
  <si>
    <t>X--BH-10</t>
  </si>
  <si>
    <t>X--NS39</t>
  </si>
  <si>
    <t>X--OWF-2R</t>
  </si>
  <si>
    <t>X--PBS</t>
  </si>
  <si>
    <t>X--PLS</t>
  </si>
  <si>
    <t>X--PLS-R</t>
  </si>
  <si>
    <t>X--TMM-6-L-10</t>
  </si>
  <si>
    <t>X--TMMH-115</t>
  </si>
  <si>
    <t>X--VALUE-2.54MM</t>
  </si>
  <si>
    <t>X--VALUE-2MM</t>
  </si>
  <si>
    <t>X--XH</t>
  </si>
  <si>
    <t>_SMB</t>
  </si>
  <si>
    <t>$1.$2n_</t>
  </si>
  <si>
    <t>$1N$2</t>
  </si>
  <si>
    <t>AEC--$1</t>
  </si>
  <si>
    <t>TC--B</t>
  </si>
  <si>
    <t>LED1206</t>
  </si>
  <si>
    <t>DO216</t>
  </si>
  <si>
    <t>1008</t>
  </si>
  <si>
    <t>RA0804</t>
  </si>
  <si>
    <t>SOT89</t>
  </si>
  <si>
    <t>X--PLS2</t>
  </si>
  <si>
    <t>X--PLD2</t>
  </si>
  <si>
    <t>X--PLD</t>
  </si>
  <si>
    <t>Q--3225</t>
  </si>
  <si>
    <t>SOP8--P0.65[3x3]</t>
  </si>
  <si>
    <t>SOP20--P0.65[6.4x4.4]</t>
  </si>
  <si>
    <t>QFN16--P0.65[4x4]</t>
  </si>
  <si>
    <t>QFN64--P0.5[9x9]</t>
  </si>
  <si>
    <t>SON20--P0.5[4.5x3.5]</t>
  </si>
  <si>
    <t>QFN20--P0.5[3x3]</t>
  </si>
  <si>
    <t>QFN20--P0.5[4x4]</t>
  </si>
  <si>
    <t>SOP10--P0.5[3x3]</t>
  </si>
  <si>
    <t>SOP14--P0.65[5x4.4]</t>
  </si>
  <si>
    <t>SOP16--P0.65[5x4.4]</t>
  </si>
  <si>
    <t>SOP8--P0.65[3x4.4]</t>
  </si>
  <si>
    <t>SON8--P0.65[3x3]</t>
  </si>
  <si>
    <t>SON8--P1.27[5x6]</t>
  </si>
  <si>
    <t>SON8--P1.27[6x8]</t>
  </si>
  <si>
    <t>SON10--P0.5[3x3]</t>
  </si>
  <si>
    <t>SON8--P0.5[3x2]</t>
  </si>
  <si>
    <t>SON8--P0.5[2x2]</t>
  </si>
  <si>
    <t>QFN24--P0.5[4x4]</t>
  </si>
  <si>
    <t>QFP144--P0.5[20x20]</t>
  </si>
  <si>
    <t>BGA676--P1.0[27x27]</t>
  </si>
  <si>
    <t>BGA48--P0.8[8x9]</t>
  </si>
  <si>
    <t>SOP32-P0.5[8x18.4]</t>
  </si>
  <si>
    <t>SOP54--P0.8[22.4x10.1]</t>
  </si>
  <si>
    <t>QFP48--P0.5[7x7]</t>
  </si>
  <si>
    <t>Q--5032</t>
  </si>
  <si>
    <t>Q--127127</t>
  </si>
  <si>
    <t>Q--7050</t>
  </si>
  <si>
    <t>Q--5050</t>
  </si>
  <si>
    <t>LED--1.8</t>
  </si>
  <si>
    <t>LED--3</t>
  </si>
  <si>
    <t>LED--5-RGB</t>
  </si>
  <si>
    <t>TC--E</t>
  </si>
  <si>
    <t>Q--12494</t>
  </si>
  <si>
    <t>L--CDRH8</t>
  </si>
  <si>
    <t>NFE31</t>
  </si>
  <si>
    <t>BGA256--P1.0[17x17]</t>
  </si>
  <si>
    <t>BGA56--P0.8[8x10]</t>
  </si>
  <si>
    <t>QFP64--P0.5[10x10]</t>
  </si>
  <si>
    <t>SOP28--P1.27[17.9x7.5]</t>
  </si>
  <si>
    <t>TC--C</t>
  </si>
  <si>
    <t>SON10--P0.8[4x4]</t>
  </si>
  <si>
    <t>T--SM22</t>
  </si>
  <si>
    <t>T--SF0905</t>
  </si>
  <si>
    <t>T--AT1030</t>
  </si>
  <si>
    <t>LED--L-934CB</t>
  </si>
  <si>
    <t>X--QMA</t>
  </si>
  <si>
    <t>T--TEN25</t>
  </si>
  <si>
    <t>SW--SPST-RA</t>
  </si>
  <si>
    <t>_SMC</t>
  </si>
  <si>
    <t>SOIC8W</t>
  </si>
  <si>
    <t>TC--$1</t>
  </si>
  <si>
    <t>L--IHLP2020</t>
  </si>
  <si>
    <t>L--CDRH3</t>
  </si>
  <si>
    <t>SW--DIP</t>
  </si>
  <si>
    <t>SW--SPST-SMD2</t>
  </si>
  <si>
    <t>QFN16--P0.5[3x3]</t>
  </si>
  <si>
    <t>BGA349--P0.8[19x19]</t>
  </si>
  <si>
    <t>QFN28--P0.5[5x5]</t>
  </si>
  <si>
    <t>BGA84--P0.8[10x12.5]</t>
  </si>
  <si>
    <t>BGA484--P1.0[23x23]</t>
  </si>
  <si>
    <t>RegExp1:  |,</t>
  </si>
  <si>
    <t>RegExp1: ([NP])F_</t>
  </si>
  <si>
    <t>RegExp1: _SO([DT])-([0-9]{2,3})$</t>
  </si>
  <si>
    <t>RegExp1: _SOT-?23-([1-9])$</t>
  </si>
  <si>
    <t>RegExp1: _SO-?([0-9]{1,2})$</t>
  </si>
  <si>
    <t>RegExp1: _DO-?214AC$</t>
  </si>
  <si>
    <t>RegExp1: _DO-?214AA$</t>
  </si>
  <si>
    <t>RegExp1: _DO-?214AB$</t>
  </si>
  <si>
    <t>RegExp1: _FB-?([0-9]{4})$</t>
  </si>
  <si>
    <t>RegExp1: _VD-?([0-9]{4})$</t>
  </si>
  <si>
    <t>RegExp1: _VR-?([0-9]{4})$</t>
  </si>
  <si>
    <t>RegExp1: ^([0-9\.]+)_((?:[0-9%\.]+_)?R[0-9]{4})</t>
  </si>
  <si>
    <t>RegExp1: ^([0-9]+)\.([0-9]+)([KMNPR])_</t>
  </si>
  <si>
    <t>RegExp1: _X7R_|_5%_|_{2,}</t>
  </si>
  <si>
    <t>RegExp1: ([0-9]+)_MHZ(_?)</t>
  </si>
  <si>
    <t>RegExp1: _MVE_([EF])55$</t>
  </si>
  <si>
    <t>RegExp1: _CSTCE_V$</t>
  </si>
  <si>
    <t>RegExp1: (_[A-Z]*Q[A-Z]*F[A-Z]*N)-([0-9-]+)$</t>
  </si>
  <si>
    <t>RegExp1: _{2,}</t>
  </si>
  <si>
    <t>RegExp2: ^[CLR](0201|0402|0603|0805|1206|1210|1812|2512)$</t>
  </si>
  <si>
    <t>RegExp2: ^(MVE-[EF]55)$</t>
  </si>
  <si>
    <t>RegExp2: ^[A-Z]*Q[A-Z]*F[A-Z]*N([0-9]+)[0-9-]{0,}$</t>
  </si>
  <si>
    <t>RegExp2: ^CSTCE-V$</t>
  </si>
  <si>
    <t>RegExp3: ^([0-9]+)K([0-9]+)(_?)</t>
  </si>
  <si>
    <t>RegExp3: ^([0-9]+)M([0-9]+)(_?)</t>
  </si>
  <si>
    <t>RegExp3: ^([0-9]+)P([0-9]+)(_?)</t>
  </si>
  <si>
    <t>RegExp3: ^([0-9]+)R([0-9]+)(_?)</t>
  </si>
  <si>
    <t>RegExp3: ^([0-9]+)K(_?)</t>
  </si>
  <si>
    <t>RegExp3: ^([0-9]+)N(_?)</t>
  </si>
  <si>
    <t>RegExp3: ^([0-9]+)P(_?)</t>
  </si>
  <si>
    <t>RegExp3: ^([0-9]+)R(_?)</t>
  </si>
  <si>
    <t>RegExp3: ^([0-9])n([0-9]{4})</t>
  </si>
  <si>
    <t>RegExp3: ^([\.0-9]+)MHZ(_?)</t>
  </si>
  <si>
    <t>RegExp3: ^NU$</t>
  </si>
  <si>
    <t>RegExp-: ^([0-9\.]+)UF?_</t>
  </si>
  <si>
    <t>RegExp-: ^([0-9]+)(?:U|UF)?(X|\*|_C[0-9]{4}|_TA[0-9]{4})</t>
  </si>
  <si>
    <t>RegExp1: ^([0-9]+)(?:U|UF)?(X|\*|_)</t>
  </si>
  <si>
    <t>RegExp2: ^CASE-([A-EJP])$</t>
  </si>
  <si>
    <t>RegExp3: _([0-9\.]+%)</t>
  </si>
  <si>
    <t>RegExp-: ^([0-9]+)N([0-9]{1,3})_</t>
  </si>
  <si>
    <t>RegExp3: ^([0-9]+)N([0-9]{1,2})(_?)</t>
  </si>
  <si>
    <t>$1.$2n$3</t>
  </si>
  <si>
    <t>QFN12-</t>
  </si>
  <si>
    <t>QFN32-</t>
  </si>
  <si>
    <t>QFN48-</t>
  </si>
  <si>
    <t>RegExp3: ^([0-9\.]+)UH(_?)</t>
  </si>
  <si>
    <t>RegExp3: ^([0-9\.]+)NH(_?)</t>
  </si>
  <si>
    <t>$1nH$2</t>
  </si>
  <si>
    <t>RegExp3: _([0-9\.]+V)</t>
  </si>
  <si>
    <t xml:space="preserve">  $1</t>
  </si>
  <si>
    <t>Inch to mm</t>
  </si>
  <si>
    <t>mm to mm</t>
  </si>
  <si>
    <t>RegExp1: ^100N(_C[0-9]{4})$</t>
  </si>
  <si>
    <t>0.1$4</t>
  </si>
  <si>
    <t>LED--LXML</t>
  </si>
  <si>
    <t>RegExp-: ^([0-9\.]+)(?:U|UF)?(X|\*|_)</t>
  </si>
  <si>
    <t>RegExp-: ([^\.])0*(_C[0-9]{4})$</t>
  </si>
  <si>
    <t>LED--L1C1</t>
  </si>
  <si>
    <t>D0603</t>
  </si>
  <si>
    <t>LED1210</t>
  </si>
  <si>
    <t>Q--3213</t>
  </si>
  <si>
    <t>Q--2016</t>
  </si>
  <si>
    <t>Q--1612</t>
  </si>
  <si>
    <t>Q--2520</t>
  </si>
  <si>
    <t>Q--3215</t>
  </si>
  <si>
    <t>SW--TACT4-5MM</t>
  </si>
  <si>
    <t>SW--TACT4-4MM</t>
  </si>
  <si>
    <t>SW--TACT4-6MM</t>
  </si>
  <si>
    <t>LED--NSSW208</t>
  </si>
  <si>
    <t>L--DO3314</t>
  </si>
  <si>
    <t>QFP100--P0.5[14x14]</t>
  </si>
  <si>
    <t>-</t>
  </si>
  <si>
    <t xml:space="preserve">Board dimensions (X;Y;Z): </t>
  </si>
  <si>
    <r>
      <t xml:space="preserve">Block offsets (X;Y;R): </t>
    </r>
    <r>
      <rPr>
        <b/>
        <i/>
        <sz val="10"/>
        <color theme="1" tint="0.499984740745262"/>
        <rFont val="Calibri"/>
        <family val="2"/>
        <charset val="204"/>
        <scheme val="minor"/>
      </rPr>
      <t>1</t>
    </r>
  </si>
  <si>
    <t xml:space="preserve">Multiplication (X;Y): </t>
  </si>
  <si>
    <t xml:space="preserve">Block pitch (X;Y): </t>
  </si>
  <si>
    <t>C:\Google Drive\Work\SMDbaltic\Templates\Montazka.dwt</t>
  </si>
  <si>
    <t xml:space="preserve">PCB side: </t>
  </si>
  <si>
    <t xml:space="preserve">BOT Fiducial Mark 1 (X;Y): </t>
  </si>
  <si>
    <t xml:space="preserve">BOT Fiducial Mark 2 (X;Y): </t>
  </si>
  <si>
    <t xml:space="preserve">TOP Fiducial Mark 1 (X;Y): </t>
  </si>
  <si>
    <t xml:space="preserve">TOP Fiducial Mark 2 (X;Y): </t>
  </si>
  <si>
    <t>Fiducials for plot:</t>
  </si>
  <si>
    <t>Dimensions for plot:</t>
  </si>
  <si>
    <t>…</t>
  </si>
  <si>
    <t>L5</t>
  </si>
  <si>
    <t>R18</t>
  </si>
  <si>
    <t>C174</t>
  </si>
  <si>
    <t>C24</t>
  </si>
  <si>
    <t>39.14775:122.23019</t>
  </si>
  <si>
    <t>33.42640:121.14561</t>
  </si>
  <si>
    <t>R396</t>
  </si>
  <si>
    <t>33.27654:124.81845</t>
  </si>
  <si>
    <t>C317</t>
  </si>
  <si>
    <t>33.28416:126.90379</t>
  </si>
  <si>
    <t>R340</t>
  </si>
  <si>
    <t>33.33750:128.60559</t>
  </si>
  <si>
    <t>R293</t>
  </si>
  <si>
    <t>33.33750:130.48011</t>
  </si>
  <si>
    <t>C358</t>
  </si>
  <si>
    <t>31.05150:131.21417</t>
  </si>
  <si>
    <t>C328</t>
  </si>
  <si>
    <t>31.07436:127.83851</t>
  </si>
  <si>
    <t>C318</t>
  </si>
  <si>
    <t>28.91790:130.27945</t>
  </si>
  <si>
    <t>C378</t>
  </si>
  <si>
    <t>28.91790:131.67899</t>
  </si>
  <si>
    <t>R334</t>
  </si>
  <si>
    <t>26.75128:130.89413</t>
  </si>
  <si>
    <t>U399</t>
  </si>
  <si>
    <t>27.04719:125.98177</t>
  </si>
  <si>
    <t>C3414</t>
  </si>
  <si>
    <t>23.23338:131.35387</t>
  </si>
  <si>
    <t>R385</t>
  </si>
  <si>
    <t>22.66188:129.32949</t>
  </si>
  <si>
    <t>C333</t>
  </si>
  <si>
    <t>22.38502:126.83013</t>
  </si>
  <si>
    <t>C347</t>
  </si>
  <si>
    <t>22.97430:123.91421</t>
  </si>
  <si>
    <t>C658</t>
  </si>
  <si>
    <t>25.52446:121.93809</t>
  </si>
  <si>
    <t>R773</t>
  </si>
  <si>
    <t>28.61310:121.35389</t>
  </si>
  <si>
    <t>R774</t>
  </si>
  <si>
    <t>28.61310:119.53017</t>
  </si>
  <si>
    <t>C312</t>
  </si>
  <si>
    <t>17.51330:123.45447</t>
  </si>
  <si>
    <t>C932</t>
  </si>
  <si>
    <t>22.72538:117.43975</t>
  </si>
  <si>
    <t>D144</t>
  </si>
  <si>
    <t>21.00072:118.88755</t>
  </si>
  <si>
    <t>C548</t>
  </si>
  <si>
    <t>18.92554:118.89771</t>
  </si>
  <si>
    <t>R327</t>
  </si>
  <si>
    <t>16.97482:118.31605</t>
  </si>
  <si>
    <t>C15</t>
  </si>
  <si>
    <t>14.95044:113.83803</t>
  </si>
  <si>
    <t>C54</t>
  </si>
  <si>
    <t>13.55090:113.83803</t>
  </si>
  <si>
    <t>C37</t>
  </si>
  <si>
    <t>10.40130:116.76411</t>
  </si>
  <si>
    <t>L24</t>
  </si>
  <si>
    <t>8.60044:117.50071</t>
  </si>
  <si>
    <t>C45</t>
  </si>
  <si>
    <t>7.12470:121.06687</t>
  </si>
  <si>
    <t>C61</t>
  </si>
  <si>
    <t>3.01244:120.70365</t>
  </si>
  <si>
    <t>C16</t>
  </si>
  <si>
    <t>9.22528:102.39279</t>
  </si>
  <si>
    <t>C41</t>
  </si>
  <si>
    <t>12.93368:102.25563</t>
  </si>
  <si>
    <t>14.42466:104.84389</t>
  </si>
  <si>
    <t>C35</t>
  </si>
  <si>
    <t>14.30782:107.15529</t>
  </si>
  <si>
    <t>C551</t>
  </si>
  <si>
    <t>13.88872:108.82915</t>
  </si>
  <si>
    <t>14.14018:110.80527</t>
  </si>
  <si>
    <t>C811</t>
  </si>
  <si>
    <t>16.68780:100.83069</t>
  </si>
  <si>
    <t>C814</t>
  </si>
  <si>
    <t>20.26412:100.37857</t>
  </si>
  <si>
    <t>Temp</t>
  </si>
  <si>
    <t>Sort Letter 1</t>
  </si>
  <si>
    <t>Sort Number 1</t>
  </si>
  <si>
    <t>Sort Letter 2</t>
  </si>
  <si>
    <t>Sort Number 2</t>
  </si>
  <si>
    <t>R21</t>
  </si>
  <si>
    <t>R24</t>
  </si>
  <si>
    <t>R17</t>
  </si>
  <si>
    <t>R19</t>
  </si>
  <si>
    <t>R20</t>
  </si>
  <si>
    <t>R22</t>
  </si>
  <si>
    <t>R23</t>
  </si>
  <si>
    <t>R25</t>
  </si>
  <si>
    <t>R26</t>
  </si>
  <si>
    <t>VD1</t>
  </si>
  <si>
    <t>VT17</t>
  </si>
  <si>
    <t>VT18</t>
  </si>
  <si>
    <t>U1</t>
  </si>
  <si>
    <t>U2</t>
  </si>
  <si>
    <t>U3</t>
  </si>
  <si>
    <t>U4</t>
  </si>
  <si>
    <t>U5</t>
  </si>
  <si>
    <t>U6</t>
  </si>
  <si>
    <t>U7</t>
  </si>
  <si>
    <t>U8</t>
  </si>
  <si>
    <t>C36</t>
  </si>
  <si>
    <t>4.7UX5R10P25V0805</t>
  </si>
  <si>
    <t>10NX7R10P50V0805</t>
  </si>
  <si>
    <t>C38</t>
  </si>
  <si>
    <t>C39</t>
  </si>
  <si>
    <t>1.2K5P1206</t>
  </si>
  <si>
    <t>2.7K5P0805</t>
  </si>
  <si>
    <t>10K5P0805</t>
  </si>
  <si>
    <t>200K1P0805</t>
  </si>
  <si>
    <t>100K1P0805</t>
  </si>
  <si>
    <t>4.7K5P0805</t>
  </si>
  <si>
    <t>LTV-817S-TA1</t>
  </si>
  <si>
    <t>U9</t>
  </si>
  <si>
    <t>LP2985AIM5-5.0/NOPB</t>
  </si>
  <si>
    <t>U10</t>
  </si>
  <si>
    <t>ATTINY10-TSHR</t>
  </si>
  <si>
    <t>KP2012EC</t>
  </si>
  <si>
    <t>BC846B</t>
  </si>
  <si>
    <t>\\FS-Primary\User Folders\IAnoshko\Desktop</t>
  </si>
  <si>
    <t>0;0</t>
  </si>
  <si>
    <t>R34</t>
  </si>
  <si>
    <t>VD7</t>
  </si>
  <si>
    <t>C2</t>
  </si>
  <si>
    <t>C4</t>
  </si>
  <si>
    <t>C6</t>
  </si>
  <si>
    <t>DD2</t>
  </si>
  <si>
    <t>R3</t>
  </si>
  <si>
    <t>R43</t>
  </si>
  <si>
    <t>R5</t>
  </si>
  <si>
    <t>R6</t>
  </si>
  <si>
    <t>C1</t>
  </si>
  <si>
    <t>C11</t>
  </si>
  <si>
    <t>C19</t>
  </si>
  <si>
    <t>C8</t>
  </si>
  <si>
    <t>R1</t>
  </si>
  <si>
    <t>R11</t>
  </si>
  <si>
    <t>8.2K5P0603</t>
  </si>
  <si>
    <t>R14</t>
  </si>
  <si>
    <t>R15</t>
  </si>
  <si>
    <t>R27</t>
  </si>
  <si>
    <t>R29</t>
  </si>
  <si>
    <t>R30</t>
  </si>
  <si>
    <t>R31</t>
  </si>
  <si>
    <t>R49</t>
  </si>
  <si>
    <t>R52</t>
  </si>
  <si>
    <t>R8</t>
  </si>
  <si>
    <t>VT13</t>
  </si>
  <si>
    <t>VT7</t>
  </si>
  <si>
    <t>VT8</t>
  </si>
  <si>
    <t>TOP</t>
  </si>
  <si>
    <t>0;0;0</t>
  </si>
  <si>
    <t>10UX5R10P16V0805</t>
  </si>
  <si>
    <t>10UX7R10P50V1210</t>
  </si>
  <si>
    <t>10NX7R10P50V0603</t>
  </si>
  <si>
    <t>4.7UX7R10P50V1210</t>
  </si>
  <si>
    <t>100NX7R10P50V0603</t>
  </si>
  <si>
    <t>470NX7R10P50V0603</t>
  </si>
  <si>
    <t>C22</t>
  </si>
  <si>
    <t>DA1</t>
  </si>
  <si>
    <t>LT3478IFE#PBF</t>
  </si>
  <si>
    <t>DA2</t>
  </si>
  <si>
    <t>LM2937IMP-3.3/NOPB</t>
  </si>
  <si>
    <t>DA3</t>
  </si>
  <si>
    <t>DA4</t>
  </si>
  <si>
    <t>TL431AIDBZ</t>
  </si>
  <si>
    <t>SN74LVC1G04DBVR</t>
  </si>
  <si>
    <t>L1</t>
  </si>
  <si>
    <t>CDRH104RNP-100NC</t>
  </si>
  <si>
    <t>L2</t>
  </si>
  <si>
    <t>10R5P0603</t>
  </si>
  <si>
    <t>5.1K5P0603</t>
  </si>
  <si>
    <t>33K1P0603</t>
  </si>
  <si>
    <t>0.1R1P0805</t>
  </si>
  <si>
    <t>22K5P0603</t>
  </si>
  <si>
    <t>20K5P0603</t>
  </si>
  <si>
    <t>0R5P0603</t>
  </si>
  <si>
    <t>12.1K1P0603</t>
  </si>
  <si>
    <t>10K5P0603</t>
  </si>
  <si>
    <t>2.2K5P0603</t>
  </si>
  <si>
    <t>9.09K1P0603</t>
  </si>
  <si>
    <t>R54</t>
  </si>
  <si>
    <t>R57</t>
  </si>
  <si>
    <t>15MQ040N</t>
  </si>
  <si>
    <t>ESDA6V1L</t>
  </si>
  <si>
    <t>VD9</t>
  </si>
  <si>
    <t>IRLML2402TRPBF</t>
  </si>
  <si>
    <t>IRLML5203TRPBF</t>
  </si>
  <si>
    <t>SN-LABEL</t>
  </si>
  <si>
    <t>B000000AA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</si>
</sst>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i/>
      <sz val="10"/>
      <color theme="1" tint="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39" fillId="0" borderId="0" applyNumberFormat="0" applyFill="0" applyBorder="0" applyAlignment="0" applyProtection="0"/>
  </cellStyleXfs>
  <cellXfs count="62">
    <xf numFmtId="0" fontId="0" fillId="0" borderId="0" xfId="0"/>
    <xf numFmtId="0" fontId="19" fillId="0" borderId="0" xfId="0" applyFont="1"/>
    <xf numFmtId="9" fontId="20" fillId="0" borderId="0" xfId="42" applyFont="1"/>
    <xf numFmtId="0" fontId="21" fillId="0" borderId="0" xfId="0" applyFont="1"/>
    <xf numFmtId="0" fontId="22" fillId="0" borderId="0" xfId="0" applyFont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19" fillId="0" borderId="0" xfId="0" applyFont="1" applyAlignment="1">
      <alignment horizontal="center"/>
    </xf>
    <xf numFmtId="0" fontId="0" fillId="33" borderId="14" xfId="0" applyFill="1" applyBorder="1"/>
    <xf numFmtId="0" fontId="18" fillId="0" borderId="0" xfId="0" applyFont="1" applyAlignment="1">
      <alignment horizontal="center"/>
    </xf>
    <xf numFmtId="0" fontId="24" fillId="0" borderId="0" xfId="0" applyFont="1"/>
    <xf numFmtId="0" fontId="23" fillId="0" borderId="0" xfId="0" applyFont="1"/>
    <xf numFmtId="0" fontId="18" fillId="0" borderId="0" xfId="0" applyFont="1" applyAlignment="1">
      <alignment horizontal="right" vertical="center"/>
    </xf>
    <xf numFmtId="49" fontId="24" fillId="0" borderId="0" xfId="0" applyNumberFormat="1" applyFont="1" applyAlignment="1">
      <alignment horizontal="left" vertical="center"/>
    </xf>
    <xf numFmtId="49" fontId="24" fillId="0" borderId="0" xfId="0" applyNumberFormat="1" applyFont="1"/>
    <xf numFmtId="0" fontId="25" fillId="0" borderId="0" xfId="0" applyFont="1" applyAlignment="1">
      <alignment horizontal="center"/>
    </xf>
    <xf numFmtId="49" fontId="23" fillId="0" borderId="0" xfId="0" applyNumberFormat="1" applyFont="1"/>
    <xf numFmtId="49" fontId="23" fillId="0" borderId="0" xfId="0" applyNumberFormat="1" applyFont="1" applyProtection="1">
      <protection locked="0"/>
    </xf>
    <xf numFmtId="49" fontId="18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9" fillId="0" borderId="14" xfId="0" applyFont="1" applyBorder="1"/>
    <xf numFmtId="0" fontId="19" fillId="0" borderId="14" xfId="0" applyFont="1" applyBorder="1" applyAlignment="1">
      <alignment horizontal="center" vertical="center"/>
    </xf>
    <xf numFmtId="0" fontId="28" fillId="0" borderId="0" xfId="0" applyFont="1"/>
    <xf numFmtId="49" fontId="28" fillId="0" borderId="0" xfId="0" applyNumberFormat="1" applyFont="1"/>
    <xf numFmtId="0" fontId="30" fillId="0" borderId="0" xfId="0" applyFont="1"/>
    <xf numFmtId="0" fontId="28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0" fontId="24" fillId="0" borderId="0" xfId="0" applyFont="1" applyAlignment="1">
      <alignment horizontal="left"/>
    </xf>
    <xf numFmtId="0" fontId="0" fillId="0" borderId="0" xfId="0" applyAlignment="1">
      <alignment wrapText="1"/>
    </xf>
    <xf numFmtId="0" fontId="24" fillId="0" borderId="0" xfId="0" applyFont="1" applyAlignment="1">
      <alignment horizontal="left" wrapText="1"/>
    </xf>
    <xf numFmtId="0" fontId="24" fillId="0" borderId="0" xfId="0" applyFont="1" applyProtection="1">
      <protection locked="0"/>
    </xf>
    <xf numFmtId="0" fontId="24" fillId="0" borderId="0" xfId="0" applyFont="1" applyAlignment="1">
      <alignment horizontal="right"/>
    </xf>
    <xf numFmtId="0" fontId="24" fillId="0" borderId="0" xfId="0" applyFont="1" applyAlignment="1" applyProtection="1">
      <alignment horizontal="right"/>
      <protection locked="0"/>
    </xf>
    <xf numFmtId="0" fontId="31" fillId="0" borderId="0" xfId="0" applyFont="1" applyAlignment="1">
      <alignment horizontal="right" vertical="center"/>
    </xf>
    <xf numFmtId="49" fontId="32" fillId="0" borderId="0" xfId="0" applyNumberFormat="1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0" fontId="33" fillId="0" borderId="0" xfId="0" applyFont="1" applyAlignment="1">
      <alignment horizontal="right"/>
    </xf>
    <xf numFmtId="49" fontId="24" fillId="0" borderId="0" xfId="0" applyNumberFormat="1" applyFont="1" applyAlignment="1">
      <alignment horizontal="left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0" fontId="37" fillId="0" borderId="0" xfId="0" applyFont="1" applyAlignment="1"/>
    <xf numFmtId="0" fontId="0" fillId="0" borderId="0" xfId="0" applyAlignment="1"/>
    <xf numFmtId="0" fontId="19" fillId="34" borderId="0" xfId="0" applyFont="1" applyFill="1" applyAlignment="1">
      <alignment horizontal="center" vertical="center"/>
    </xf>
    <xf numFmtId="0" fontId="0" fillId="34" borderId="0" xfId="0" applyFill="1"/>
    <xf numFmtId="0" fontId="19" fillId="34" borderId="0" xfId="0" applyFont="1" applyFill="1" applyAlignment="1">
      <alignment horizontal="center"/>
    </xf>
    <xf numFmtId="0" fontId="19" fillId="34" borderId="0" xfId="0" applyFont="1" applyFill="1" applyAlignment="1">
      <alignment horizontal="center" vertical="center" wrapText="1"/>
    </xf>
    <xf numFmtId="0" fontId="26" fillId="34" borderId="0" xfId="0" applyFont="1" applyFill="1" applyAlignment="1">
      <alignment horizontal="center"/>
    </xf>
    <xf numFmtId="49" fontId="26" fillId="34" borderId="0" xfId="0" applyNumberFormat="1" applyFont="1" applyFill="1" applyAlignment="1">
      <alignment horizontal="center"/>
    </xf>
    <xf numFmtId="0" fontId="28" fillId="34" borderId="0" xfId="0" applyFont="1" applyFill="1"/>
    <xf numFmtId="0" fontId="29" fillId="34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/>
    </xf>
    <xf numFmtId="49" fontId="28" fillId="34" borderId="0" xfId="0" applyNumberFormat="1" applyFont="1" applyFill="1"/>
    <xf numFmtId="0" fontId="30" fillId="34" borderId="0" xfId="0" applyFont="1" applyFill="1"/>
    <xf numFmtId="0" fontId="39" fillId="0" borderId="0" xfId="43"/>
    <xf numFmtId="0" fontId="19" fillId="0" borderId="14" xfId="0" applyFont="1" applyBorder="1" applyAlignment="1">
      <alignment horizontal="center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2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rgb="FFA9D08E"/>
        </patternFill>
      </fill>
    </dxf>
    <dxf>
      <fill>
        <patternFill>
          <bgColor rgb="FFF4B084"/>
        </patternFill>
      </fill>
    </dxf>
    <dxf>
      <fill>
        <patternFill>
          <bgColor rgb="FFA9D08E"/>
        </patternFill>
      </fill>
    </dxf>
  </dxfs>
  <tableStyles count="0" defaultTableStyle="TableStyleMedium2" defaultPivotStyle="PivotStyleLight16"/>
  <colors>
    <mruColors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67118337850049E-2"/>
          <c:y val="1.5753161698283648E-2"/>
          <c:w val="0.89850632339656733"/>
          <c:h val="0.93504494128274618"/>
        </c:manualLayout>
      </c:layout>
      <c:scatterChart>
        <c:scatterStyle val="lineMarker"/>
        <c:varyColors val="0"/>
        <c:ser>
          <c:idx val="0"/>
          <c:order val="0"/>
          <c:tx>
            <c:v>Components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rgbClr val="C00000"/>
              </a:solidFill>
              <a:ln w="3175">
                <a:noFill/>
                <a:prstDash val="sysDot"/>
              </a:ln>
              <a:effectLst/>
            </c:spPr>
          </c:marker>
          <c:dLbls>
            <c:delete val="1"/>
          </c:dLbls>
          <c:xVal>
            <c:numRef>
              <c:f>PNPwizard!$C$2:$C$1003</c:f>
              <c:numCache>
                <c:formatCode>General</c:formatCode>
                <c:ptCount val="1002"/>
              </c:numCache>
            </c:numRef>
          </c:xVal>
          <c:yVal>
            <c:numRef>
              <c:f>PNPwizard!$D$2:$D$1003</c:f>
              <c:numCache>
                <c:formatCode>General</c:formatCode>
                <c:ptCount val="10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A0-4E35-A3B6-E302A1E74C6B}"/>
            </c:ext>
          </c:extLst>
        </c:ser>
        <c:ser>
          <c:idx val="1"/>
          <c:order val="1"/>
          <c:tx>
            <c:v>Fiducials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dLbls>
            <c:delete val="1"/>
          </c:dLbls>
          <c:xVal>
            <c:numRef>
              <c:f>'Project Data'!$M$2:$M$3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'Project Data'!$N$2:$N$3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2B-4150-BAFA-638FDEDDD6E8}"/>
            </c:ext>
          </c:extLst>
        </c:ser>
        <c:ser>
          <c:idx val="2"/>
          <c:order val="2"/>
          <c:tx>
            <c:v>Board</c:v>
          </c:tx>
          <c:spPr>
            <a:ln w="158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'Project Data'!$M$7:$M$11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'Project Data'!$N$7:$N$11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F-4E7A-AAF7-29478EEBF9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121863152"/>
        <c:axId val="-1121865872"/>
      </c:scatterChart>
      <c:valAx>
        <c:axId val="-1121863152"/>
        <c:scaling>
          <c:orientation val="minMax"/>
          <c:max val="203"/>
          <c:min val="-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5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121865872"/>
        <c:crossesAt val="0"/>
        <c:crossBetween val="midCat"/>
      </c:valAx>
      <c:valAx>
        <c:axId val="-1121865872"/>
        <c:scaling>
          <c:orientation val="minMax"/>
          <c:max val="203"/>
          <c:min val="-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5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12186315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18631357252118E-2"/>
          <c:y val="1.5753161698283648E-2"/>
          <c:w val="0.93725475268377278"/>
          <c:h val="0.97584329367497979"/>
        </c:manualLayout>
      </c:layout>
      <c:scatterChart>
        <c:scatterStyle val="lineMarker"/>
        <c:varyColors val="0"/>
        <c:ser>
          <c:idx val="0"/>
          <c:order val="0"/>
          <c:tx>
            <c:v>Components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noFill/>
                <a:prstDash val="sysDot"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570-4E40-AEC2-143FFC4DDA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570-4E40-AEC2-143FFC4DDA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570-4E40-AEC2-143FFC4DDA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70-4E40-AEC2-143FFC4DDA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570-4E40-AEC2-143FFC4DDA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70-4E40-AEC2-143FFC4DDA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570-4E40-AEC2-143FFC4DDA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70-4E40-AEC2-143FFC4DDA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570-4E40-AEC2-143FFC4DDA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570-4E40-AEC2-143FFC4DDA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570-4E40-AEC2-143FFC4DDA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570-4E40-AEC2-143FFC4DDA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570-4E40-AEC2-143FFC4DDA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570-4E40-AEC2-143FFC4DDA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570-4E40-AEC2-143FFC4DDA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570-4E40-AEC2-143FFC4DDA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570-4E40-AEC2-143FFC4DDA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70-4E40-AEC2-143FFC4DDA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70-4E40-AEC2-143FFC4DDA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70-4E40-AEC2-143FFC4DDA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70-4E40-AEC2-143FFC4DDA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570-4E40-AEC2-143FFC4DDA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570-4E40-AEC2-143FFC4DDA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570-4E40-AEC2-143FFC4DDA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570-4E40-AEC2-143FFC4DDA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570-4E40-AEC2-143FFC4DDA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570-4E40-AEC2-143FFC4DDA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570-4E40-AEC2-143FFC4DDA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570-4E40-AEC2-143FFC4DDA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570-4E40-AEC2-143FFC4DDA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570-4E40-AEC2-143FFC4DDA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570-4E40-AEC2-143FFC4DDA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570-4E40-AEC2-143FFC4DDA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570-4E40-AEC2-143FFC4DDA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570-4E40-AEC2-143FFC4DDA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570-4E40-AEC2-143FFC4DDA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570-4E40-AEC2-143FFC4DDA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570-4E40-AEC2-143FFC4DDA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E570-4E40-AEC2-143FFC4DDA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E570-4E40-AEC2-143FFC4DDA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E570-4E40-AEC2-143FFC4DDA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E570-4E40-AEC2-143FFC4DDA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E570-4E40-AEC2-143FFC4DDA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E570-4E40-AEC2-143FFC4DDA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E570-4E40-AEC2-143FFC4DDA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E570-4E40-AEC2-143FFC4DDA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E570-4E40-AEC2-143FFC4DDA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E570-4E40-AEC2-143FFC4DDA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E570-4E40-AEC2-143FFC4DDA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E570-4E40-AEC2-143FFC4DDA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E570-4E40-AEC2-143FFC4DDA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E570-4E40-AEC2-143FFC4DDA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E570-4E40-AEC2-143FFC4DDA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E570-4E40-AEC2-143FFC4DDA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E570-4E40-AEC2-143FFC4DDA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E570-4E40-AEC2-143FFC4DDA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E570-4E40-AEC2-143FFC4DDA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E570-4E40-AEC2-143FFC4DDA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E570-4E40-AEC2-143FFC4DDA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E570-4E40-AEC2-143FFC4DDA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E570-4E40-AEC2-143FFC4DDA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E570-4E40-AEC2-143FFC4DDA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E570-4E40-AEC2-143FFC4DDA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E570-4E40-AEC2-143FFC4DDA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E570-4E40-AEC2-143FFC4DDA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E570-4E40-AEC2-143FFC4DDA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E570-4E40-AEC2-143FFC4DDA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E570-4E40-AEC2-143FFC4DDA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E570-4E40-AEC2-143FFC4DDA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E570-4E40-AEC2-143FFC4DDA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E570-4E40-AEC2-143FFC4DDA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E570-4E40-AEC2-143FFC4DDA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E570-4E40-AEC2-143FFC4DDA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E570-4E40-AEC2-143FFC4DDA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E570-4E40-AEC2-143FFC4DDA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E570-4E40-AEC2-143FFC4DDA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E570-4E40-AEC2-143FFC4DDA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E570-4E40-AEC2-143FFC4DDA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E570-4E40-AEC2-143FFC4DDA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E570-4E40-AEC2-143FFC4DDA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E570-4E40-AEC2-143FFC4DDA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E570-4E40-AEC2-143FFC4DDA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E570-4E40-AEC2-143FFC4DDA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E570-4E40-AEC2-143FFC4DDA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E570-4E40-AEC2-143FFC4DDA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E570-4E40-AEC2-143FFC4DDA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E570-4E40-AEC2-143FFC4DDA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E570-4E40-AEC2-143FFC4DDA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E570-4E40-AEC2-143FFC4DDA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E570-4E40-AEC2-143FFC4DDA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E570-4E40-AEC2-143FFC4DDA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E570-4E40-AEC2-143FFC4DDA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E570-4E40-AEC2-143FFC4DDA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E570-4E40-AEC2-143FFC4DDA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E570-4E40-AEC2-143FFC4DDA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E570-4E40-AEC2-143FFC4DDA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E570-4E40-AEC2-143FFC4DDA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E570-4E40-AEC2-143FFC4DDA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E570-4E40-AEC2-143FFC4DDA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E570-4E40-AEC2-143FFC4DDA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E570-4E40-AEC2-143FFC4DDA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E570-4E40-AEC2-143FFC4DDA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E570-4E40-AEC2-143FFC4DDA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E570-4E40-AEC2-143FFC4DDA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E570-4E40-AEC2-143FFC4DDA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E570-4E40-AEC2-143FFC4DDA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E570-4E40-AEC2-143FFC4DDA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E570-4E40-AEC2-143FFC4DDA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E570-4E40-AEC2-143FFC4DDA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E570-4E40-AEC2-143FFC4DDA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E570-4E40-AEC2-143FFC4DDA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570-4E40-AEC2-143FFC4DDA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570-4E40-AEC2-143FFC4DDA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570-4E40-AEC2-143FFC4DDA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570-4E40-AEC2-143FFC4DDA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E570-4E40-AEC2-143FFC4DDA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E570-4E40-AEC2-143FFC4DDA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E570-4E40-AEC2-143FFC4DDA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E570-4E40-AEC2-143FFC4DDA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E570-4E40-AEC2-143FFC4DDA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E570-4E40-AEC2-143FFC4DDA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E570-4E40-AEC2-143FFC4DDA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E570-4E40-AEC2-143FFC4DDA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E570-4E40-AEC2-143FFC4DDA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E570-4E40-AEC2-143FFC4DDA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E570-4E40-AEC2-143FFC4DDA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E570-4E40-AEC2-143FFC4DDA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E570-4E40-AEC2-143FFC4DDA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E570-4E40-AEC2-143FFC4DDA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E570-4E40-AEC2-143FFC4DDA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E570-4E40-AEC2-143FFC4DDA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E570-4E40-AEC2-143FFC4DDA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E570-4E40-AEC2-143FFC4DDA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E570-4E40-AEC2-143FFC4DDA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E570-4E40-AEC2-143FFC4DDA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E570-4E40-AEC2-143FFC4DDA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E570-4E40-AEC2-143FFC4DDA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E570-4E40-AEC2-143FFC4DDA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E570-4E40-AEC2-143FFC4DDA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E570-4E40-AEC2-143FFC4DDA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E570-4E40-AEC2-143FFC4DDA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E570-4E40-AEC2-143FFC4DDA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E570-4E40-AEC2-143FFC4DDA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E570-4E40-AEC2-143FFC4DDA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E570-4E40-AEC2-143FFC4DDA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E570-4E40-AEC2-143FFC4DDA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E570-4E40-AEC2-143FFC4DDA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E570-4E40-AEC2-143FFC4DDA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E570-4E40-AEC2-143FFC4DDA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E570-4E40-AEC2-143FFC4DDA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E570-4E40-AEC2-143FFC4DDA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E570-4E40-AEC2-143FFC4DDA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E570-4E40-AEC2-143FFC4DDA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E570-4E40-AEC2-143FFC4DDA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E570-4E40-AEC2-143FFC4DDA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E570-4E40-AEC2-143FFC4DDA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E570-4E40-AEC2-143FFC4DDA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E570-4E40-AEC2-143FFC4DDA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E570-4E40-AEC2-143FFC4DDA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E570-4E40-AEC2-143FFC4DDA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E570-4E40-AEC2-143FFC4DDA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E570-4E40-AEC2-143FFC4DDA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E570-4E40-AEC2-143FFC4DDA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E570-4E40-AEC2-143FFC4DDA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E570-4E40-AEC2-143FFC4DDA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E570-4E40-AEC2-143FFC4DDA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E570-4E40-AEC2-143FFC4DDA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E570-4E40-AEC2-143FFC4DDA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E570-4E40-AEC2-143FFC4DDA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E570-4E40-AEC2-143FFC4DDA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E570-4E40-AEC2-143FFC4DDA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E570-4E40-AEC2-143FFC4DDA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E570-4E40-AEC2-143FFC4DDA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E570-4E40-AEC2-143FFC4DDA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E570-4E40-AEC2-143FFC4DDA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E570-4E40-AEC2-143FFC4DDA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E570-4E40-AEC2-143FFC4DDA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E570-4E40-AEC2-143FFC4DDA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E570-4E40-AEC2-143FFC4DDA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E570-4E40-AEC2-143FFC4DDA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E570-4E40-AEC2-143FFC4DDA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E570-4E40-AEC2-143FFC4DDA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E570-4E40-AEC2-143FFC4DDA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E570-4E40-AEC2-143FFC4DDA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E570-4E40-AEC2-143FFC4DDA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E570-4E40-AEC2-143FFC4DDA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E570-4E40-AEC2-143FFC4DDA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E570-4E40-AEC2-143FFC4DDA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E570-4E40-AEC2-143FFC4DDA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E570-4E40-AEC2-143FFC4DDA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E570-4E40-AEC2-143FFC4DDA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E570-4E40-AEC2-143FFC4DDA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E570-4E40-AEC2-143FFC4DDA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E570-4E40-AEC2-143FFC4DDA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E570-4E40-AEC2-143FFC4DDA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570-4E40-AEC2-143FFC4DDA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570-4E40-AEC2-143FFC4DDA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570-4E40-AEC2-143FFC4DDA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570-4E40-AEC2-143FFC4DDA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570-4E40-AEC2-143FFC4DDA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570-4E40-AEC2-143FFC4DDA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570-4E40-AEC2-143FFC4DDA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570-4E40-AEC2-143FFC4DDA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570-4E40-AEC2-143FFC4DDA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570-4E40-AEC2-143FFC4DDA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570-4E40-AEC2-143FFC4DDA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570-4E40-AEC2-143FFC4DDA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570-4E40-AEC2-143FFC4DDA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570-4E40-AEC2-143FFC4DDA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570-4E40-AEC2-143FFC4DDA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570-4E40-AEC2-143FFC4DDA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570-4E40-AEC2-143FFC4DDA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570-4E40-AEC2-143FFC4DDA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570-4E40-AEC2-143FFC4DDA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570-4E40-AEC2-143FFC4DDA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570-4E40-AEC2-143FFC4DDA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570-4E40-AEC2-143FFC4DDA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570-4E40-AEC2-143FFC4DDA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570-4E40-AEC2-143FFC4DDA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570-4E40-AEC2-143FFC4DDA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570-4E40-AEC2-143FFC4DDA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570-4E40-AEC2-143FFC4DDA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570-4E40-AEC2-143FFC4DDA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570-4E40-AEC2-143FFC4DDA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570-4E40-AEC2-143FFC4DDA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570-4E40-AEC2-143FFC4DDA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570-4E40-AEC2-143FFC4DDA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570-4E40-AEC2-143FFC4DDA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570-4E40-AEC2-143FFC4DDA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570-4E40-AEC2-143FFC4DDA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570-4E40-AEC2-143FFC4DDA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570-4E40-AEC2-143FFC4DDA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570-4E40-AEC2-143FFC4DDA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570-4E40-AEC2-143FFC4DDA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570-4E40-AEC2-143FFC4DDA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570-4E40-AEC2-143FFC4DDA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570-4E40-AEC2-143FFC4DDA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570-4E40-AEC2-143FFC4DDA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570-4E40-AEC2-143FFC4DDA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570-4E40-AEC2-143FFC4DDA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570-4E40-AEC2-143FFC4DDA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570-4E40-AEC2-143FFC4DDA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570-4E40-AEC2-143FFC4DDA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570-4E40-AEC2-143FFC4DDA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570-4E40-AEC2-143FFC4DDA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570-4E40-AEC2-143FFC4DDA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570-4E40-AEC2-143FFC4DDA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570-4E40-AEC2-143FFC4DDA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570-4E40-AEC2-143FFC4DDA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570-4E40-AEC2-143FFC4DDA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570-4E40-AEC2-143FFC4DDA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570-4E40-AEC2-143FFC4DDA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570-4E40-AEC2-143FFC4DDA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570-4E40-AEC2-143FFC4DDA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570-4E40-AEC2-143FFC4DDA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570-4E40-AEC2-143FFC4DDA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570-4E40-AEC2-143FFC4DDA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570-4E40-AEC2-143FFC4DDA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570-4E40-AEC2-143FFC4DDA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570-4E40-AEC2-143FFC4DDA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570-4E40-AEC2-143FFC4DDA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570-4E40-AEC2-143FFC4DDA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570-4E40-AEC2-143FFC4DDA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570-4E40-AEC2-143FFC4DDA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570-4E40-AEC2-143FFC4DDA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570-4E40-AEC2-143FFC4DDA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570-4E40-AEC2-143FFC4DDA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570-4E40-AEC2-143FFC4DDA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570-4E40-AEC2-143FFC4DDA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570-4E40-AEC2-143FFC4DDA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570-4E40-AEC2-143FFC4DDA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570-4E40-AEC2-143FFC4DDA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570-4E40-AEC2-143FFC4DDA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570-4E40-AEC2-143FFC4DDA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570-4E40-AEC2-143FFC4DDA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570-4E40-AEC2-143FFC4DDA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570-4E40-AEC2-143FFC4DDA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570-4E40-AEC2-143FFC4DDA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570-4E40-AEC2-143FFC4DDA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570-4E40-AEC2-143FFC4DDA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570-4E40-AEC2-143FFC4DDA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570-4E40-AEC2-143FFC4DDA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570-4E40-AEC2-143FFC4DDA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570-4E40-AEC2-143FFC4DDA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570-4E40-AEC2-143FFC4DDA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570-4E40-AEC2-143FFC4DDA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570-4E40-AEC2-143FFC4DDA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570-4E40-AEC2-143FFC4DDA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570-4E40-AEC2-143FFC4DDA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570-4E40-AEC2-143FFC4DDA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570-4E40-AEC2-143FFC4DDA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570-4E40-AEC2-143FFC4DDA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570-4E40-AEC2-143FFC4DDA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570-4E40-AEC2-143FFC4DDA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570-4E40-AEC2-143FFC4DDA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570-4E40-AEC2-143FFC4DDA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570-4E40-AEC2-143FFC4DDA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570-4E40-AEC2-143FFC4DDA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570-4E40-AEC2-143FFC4DDABA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570-4E40-AEC2-143FFC4DDABA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570-4E40-AEC2-143FFC4DDABA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570-4E40-AEC2-143FFC4DDABA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570-4E40-AEC2-143FFC4DDABA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570-4E40-AEC2-143FFC4DDABA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570-4E40-AEC2-143FFC4DDABA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570-4E40-AEC2-143FFC4DDABA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570-4E40-AEC2-143FFC4DDABA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570-4E40-AEC2-143FFC4DDABA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570-4E40-AEC2-143FFC4DDABA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570-4E40-AEC2-143FFC4DDABA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570-4E40-AEC2-143FFC4DDABA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570-4E40-AEC2-143FFC4DDABA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570-4E40-AEC2-143FFC4DDABA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570-4E40-AEC2-143FFC4DDABA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570-4E40-AEC2-143FFC4DDABA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570-4E40-AEC2-143FFC4DDABA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570-4E40-AEC2-143FFC4DDABA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570-4E40-AEC2-143FFC4DDABA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570-4E40-AEC2-143FFC4DDABA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570-4E40-AEC2-143FFC4DDABA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570-4E40-AEC2-143FFC4DDABA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570-4E40-AEC2-143FFC4DDABA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570-4E40-AEC2-143FFC4DDABA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570-4E40-AEC2-143FFC4DDABA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570-4E40-AEC2-143FFC4DDABA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570-4E40-AEC2-143FFC4DDABA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570-4E40-AEC2-143FFC4DDABA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570-4E40-AEC2-143FFC4DDABA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570-4E40-AEC2-143FFC4DDABA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570-4E40-AEC2-143FFC4DDABA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570-4E40-AEC2-143FFC4DDABA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570-4E40-AEC2-143FFC4DDABA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570-4E40-AEC2-143FFC4DDABA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570-4E40-AEC2-143FFC4DDABA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570-4E40-AEC2-143FFC4DDABA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570-4E40-AEC2-143FFC4DDABA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570-4E40-AEC2-143FFC4DDABA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570-4E40-AEC2-143FFC4DDABA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570-4E40-AEC2-143FFC4DDABA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570-4E40-AEC2-143FFC4DDABA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570-4E40-AEC2-143FFC4DDABA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570-4E40-AEC2-143FFC4DDABA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570-4E40-AEC2-143FFC4DDABA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570-4E40-AEC2-143FFC4DDABA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570-4E40-AEC2-143FFC4DDABA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570-4E40-AEC2-143FFC4DDABA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570-4E40-AEC2-143FFC4DDABA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570-4E40-AEC2-143FFC4DDABA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570-4E40-AEC2-143FFC4DDABA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570-4E40-AEC2-143FFC4DDABA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570-4E40-AEC2-143FFC4DDABA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570-4E40-AEC2-143FFC4DDABA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570-4E40-AEC2-143FFC4DDABA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570-4E40-AEC2-143FFC4DDABA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570-4E40-AEC2-143FFC4DDABA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570-4E40-AEC2-143FFC4DDABA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570-4E40-AEC2-143FFC4DDABA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570-4E40-AEC2-143FFC4DDABA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570-4E40-AEC2-143FFC4DDABA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570-4E40-AEC2-143FFC4DDABA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570-4E40-AEC2-143FFC4DDABA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570-4E40-AEC2-143FFC4DDABA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570-4E40-AEC2-143FFC4DDABA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570-4E40-AEC2-143FFC4DDABA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570-4E40-AEC2-143FFC4DDABA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570-4E40-AEC2-143FFC4DDABA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570-4E40-AEC2-143FFC4DDABA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570-4E40-AEC2-143FFC4DDABA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570-4E40-AEC2-143FFC4DDABA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570-4E40-AEC2-143FFC4DDABA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570-4E40-AEC2-143FFC4DDABA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570-4E40-AEC2-143FFC4DDABA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570-4E40-AEC2-143FFC4DDABA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570-4E40-AEC2-143FFC4DDABA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570-4E40-AEC2-143FFC4DDABA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570-4E40-AEC2-143FFC4DDABA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570-4E40-AEC2-143FFC4DDABA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570-4E40-AEC2-143FFC4DDABA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570-4E40-AEC2-143FFC4DDABA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570-4E40-AEC2-143FFC4DDABA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570-4E40-AEC2-143FFC4DDABA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570-4E40-AEC2-143FFC4DDABA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570-4E40-AEC2-143FFC4DDABA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570-4E40-AEC2-143FFC4DDABA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3-E570-4E40-AEC2-143FFC4DDABA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4-E570-4E40-AEC2-143FFC4DDABA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5-E570-4E40-AEC2-143FFC4DDABA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6-E570-4E40-AEC2-143FFC4DDABA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7-E570-4E40-AEC2-143FFC4DDABA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8-E570-4E40-AEC2-143FFC4DDABA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9-E570-4E40-AEC2-143FFC4DDABA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A-E570-4E40-AEC2-143FFC4DDABA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B-E570-4E40-AEC2-143FFC4DDABA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C-E570-4E40-AEC2-143FFC4DDABA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D-E570-4E40-AEC2-143FFC4DDABA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E-E570-4E40-AEC2-143FFC4DDABA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F-E570-4E40-AEC2-143FFC4DDABA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0-E570-4E40-AEC2-143FFC4DDABA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E570-4E40-AEC2-143FFC4DDABA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E570-4E40-AEC2-143FFC4DDABA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E570-4E40-AEC2-143FFC4DDABA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E570-4E40-AEC2-143FFC4DDABA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E570-4E40-AEC2-143FFC4DDABA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E570-4E40-AEC2-143FFC4DDABA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E570-4E40-AEC2-143FFC4DDABA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E570-4E40-AEC2-143FFC4DDABA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E570-4E40-AEC2-143FFC4DDABA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E570-4E40-AEC2-143FFC4DDABA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E570-4E40-AEC2-143FFC4DDABA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E570-4E40-AEC2-143FFC4DDABA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D-E570-4E40-AEC2-143FFC4DDABA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E-E570-4E40-AEC2-143FFC4DDABA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F-E570-4E40-AEC2-143FFC4DDABA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0-E570-4E40-AEC2-143FFC4DDABA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1-E570-4E40-AEC2-143FFC4DDABA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2-E570-4E40-AEC2-143FFC4DDABA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3-E570-4E40-AEC2-143FFC4DDABA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4-E570-4E40-AEC2-143FFC4DDABA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5-E570-4E40-AEC2-143FFC4DDABA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6-E570-4E40-AEC2-143FFC4DDABA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7-E570-4E40-AEC2-143FFC4DDABA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8-E570-4E40-AEC2-143FFC4DDABA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9-E570-4E40-AEC2-143FFC4DDABA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A-E570-4E40-AEC2-143FFC4DDABA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B-E570-4E40-AEC2-143FFC4DDABA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C-E570-4E40-AEC2-143FFC4DDABA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D-E570-4E40-AEC2-143FFC4DDABA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E-E570-4E40-AEC2-143FFC4DDABA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F-E570-4E40-AEC2-143FFC4DDABA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0-E570-4E40-AEC2-143FFC4DDABA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1-E570-4E40-AEC2-143FFC4DDABA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E570-4E40-AEC2-143FFC4DDABA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E570-4E40-AEC2-143FFC4DDABA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E570-4E40-AEC2-143FFC4DDABA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E570-4E40-AEC2-143FFC4DDABA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E570-4E40-AEC2-143FFC4DDABA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E570-4E40-AEC2-143FFC4DDABA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E570-4E40-AEC2-143FFC4DDABA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E570-4E40-AEC2-143FFC4DDABA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E570-4E40-AEC2-143FFC4DDABA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E570-4E40-AEC2-143FFC4DDABA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E570-4E40-AEC2-143FFC4DDABA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E570-4E40-AEC2-143FFC4DDABA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E-E570-4E40-AEC2-143FFC4DDABA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F-E570-4E40-AEC2-143FFC4DDABA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0-E570-4E40-AEC2-143FFC4DDABA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1-E570-4E40-AEC2-143FFC4DDABA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2-E570-4E40-AEC2-143FFC4DDABA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3-E570-4E40-AEC2-143FFC4DDABA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4-E570-4E40-AEC2-143FFC4DDABA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5-E570-4E40-AEC2-143FFC4DDABA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6-E570-4E40-AEC2-143FFC4DDABA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7-E570-4E40-AEC2-143FFC4DDABA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8-E570-4E40-AEC2-143FFC4DDABA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9-E570-4E40-AEC2-143FFC4DDABA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A-E570-4E40-AEC2-143FFC4DDABA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B-E570-4E40-AEC2-143FFC4DDABA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C-E570-4E40-AEC2-143FFC4DDABA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D-E570-4E40-AEC2-143FFC4DDABA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E-E570-4E40-AEC2-143FFC4DDABA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F-E570-4E40-AEC2-143FFC4DDABA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0-E570-4E40-AEC2-143FFC4DDABA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1-E570-4E40-AEC2-143FFC4DDABA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2-E570-4E40-AEC2-143FFC4DDABA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3-E570-4E40-AEC2-143FFC4DDABA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4-E570-4E40-AEC2-143FFC4DDABA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5-E570-4E40-AEC2-143FFC4DDABA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6-E570-4E40-AEC2-143FFC4DDABA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7-E570-4E40-AEC2-143FFC4DDABA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8-E570-4E40-AEC2-143FFC4DDABA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9-E570-4E40-AEC2-143FFC4DDABA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A-E570-4E40-AEC2-143FFC4DDABA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B-E570-4E40-AEC2-143FFC4DDABA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C-E570-4E40-AEC2-143FFC4DDABA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D-E570-4E40-AEC2-143FFC4DDABA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E-E570-4E40-AEC2-143FFC4DDABA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F-E570-4E40-AEC2-143FFC4DDABA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0-E570-4E40-AEC2-143FFC4DDABA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1-E570-4E40-AEC2-143FFC4DDABA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2-E570-4E40-AEC2-143FFC4DDABA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3-E570-4E40-AEC2-143FFC4DDABA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4-E570-4E40-AEC2-143FFC4DDABA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5-E570-4E40-AEC2-143FFC4DDABA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6-E570-4E40-AEC2-143FFC4DDABA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7-E570-4E40-AEC2-143FFC4DDABA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8-E570-4E40-AEC2-143FFC4DDABA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9-E570-4E40-AEC2-143FFC4DDABA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A-E570-4E40-AEC2-143FFC4DDABA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B-E570-4E40-AEC2-143FFC4DDABA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C-E570-4E40-AEC2-143FFC4DDABA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D-E570-4E40-AEC2-143FFC4DDABA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E-E570-4E40-AEC2-143FFC4DDABA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EF-E570-4E40-AEC2-143FFC4DDABA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0-E570-4E40-AEC2-143FFC4DDABA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1-E570-4E40-AEC2-143FFC4DDABA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2-E570-4E40-AEC2-143FFC4DDABA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3-E570-4E40-AEC2-143FFC4DDABA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4-E570-4E40-AEC2-143FFC4DDABA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5-E570-4E40-AEC2-143FFC4DDABA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6-E570-4E40-AEC2-143FFC4DDABA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7-E570-4E40-AEC2-143FFC4DDABA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8-E570-4E40-AEC2-143FFC4DDABA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9-E570-4E40-AEC2-143FFC4DDABA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A-E570-4E40-AEC2-143FFC4DDABA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B-E570-4E40-AEC2-143FFC4DDABA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C-E570-4E40-AEC2-143FFC4DDABA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D-E570-4E40-AEC2-143FFC4DDABA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E-E570-4E40-AEC2-143FFC4DDABA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FF-E570-4E40-AEC2-143FFC4DDABA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0-E570-4E40-AEC2-143FFC4DDABA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1-E570-4E40-AEC2-143FFC4DDABA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2-E570-4E40-AEC2-143FFC4DDABA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3-E570-4E40-AEC2-143FFC4DDABA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4-E570-4E40-AEC2-143FFC4DDABA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5-E570-4E40-AEC2-143FFC4DDABA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6-E570-4E40-AEC2-143FFC4DDABA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7-E570-4E40-AEC2-143FFC4DDABA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8-E570-4E40-AEC2-143FFC4DDABA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9-E570-4E40-AEC2-143FFC4DDABA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A-E570-4E40-AEC2-143FFC4DDABA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B-E570-4E40-AEC2-143FFC4DDABA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C-E570-4E40-AEC2-143FFC4DDABA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D-E570-4E40-AEC2-143FFC4DDABA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E-E570-4E40-AEC2-143FFC4DDABA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0F-E570-4E40-AEC2-143FFC4DDABA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0-E570-4E40-AEC2-143FFC4DDABA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1-E570-4E40-AEC2-143FFC4DDABA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2-E570-4E40-AEC2-143FFC4DDABA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3-E570-4E40-AEC2-143FFC4DDABA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4-E570-4E40-AEC2-143FFC4DDABA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5-E570-4E40-AEC2-143FFC4DDABA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6-E570-4E40-AEC2-143FFC4DDABA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7-E570-4E40-AEC2-143FFC4DDABA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8-E570-4E40-AEC2-143FFC4DDABA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9-E570-4E40-AEC2-143FFC4DDABA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A-E570-4E40-AEC2-143FFC4DDABA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B-E570-4E40-AEC2-143FFC4DDABA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C-E570-4E40-AEC2-143FFC4DDABA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D-E570-4E40-AEC2-143FFC4DDABA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E-E570-4E40-AEC2-143FFC4DDABA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1F-E570-4E40-AEC2-143FFC4DDABA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0-E570-4E40-AEC2-143FFC4DDABA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1-E570-4E40-AEC2-143FFC4DDABA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2-E570-4E40-AEC2-143FFC4DDABA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3-E570-4E40-AEC2-143FFC4DDABA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4-E570-4E40-AEC2-143FFC4DDABA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5-E570-4E40-AEC2-143FFC4DDABA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6-E570-4E40-AEC2-143FFC4DDABA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7-E570-4E40-AEC2-143FFC4DDABA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8-E570-4E40-AEC2-143FFC4DDABA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9-E570-4E40-AEC2-143FFC4DDABA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A-E570-4E40-AEC2-143FFC4DDABA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B-E570-4E40-AEC2-143FFC4DDABA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C-E570-4E40-AEC2-143FFC4DDABA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D-E570-4E40-AEC2-143FFC4DDABA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E-E570-4E40-AEC2-143FFC4DDABA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2F-E570-4E40-AEC2-143FFC4DDABA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0-E570-4E40-AEC2-143FFC4DDABA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1-E570-4E40-AEC2-143FFC4DDABA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2-E570-4E40-AEC2-143FFC4DDABA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3-E570-4E40-AEC2-143FFC4DDABA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4-E570-4E40-AEC2-143FFC4DDABA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5-E570-4E40-AEC2-143FFC4DDABA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6-E570-4E40-AEC2-143FFC4DDABA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7-E570-4E40-AEC2-143FFC4DDABA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8-E570-4E40-AEC2-143FFC4DDABA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9-E570-4E40-AEC2-143FFC4DDABA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A-E570-4E40-AEC2-143FFC4DDABA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B-E570-4E40-AEC2-143FFC4DDABA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C-E570-4E40-AEC2-143FFC4DDABA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D-E570-4E40-AEC2-143FFC4DDABA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E-E570-4E40-AEC2-143FFC4DDABA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3F-E570-4E40-AEC2-143FFC4DDABA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0-E570-4E40-AEC2-143FFC4DDABA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1-E570-4E40-AEC2-143FFC4DDABA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2-E570-4E40-AEC2-143FFC4DDABA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3-E570-4E40-AEC2-143FFC4DDABA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4-E570-4E40-AEC2-143FFC4DDABA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5-E570-4E40-AEC2-143FFC4DDABA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6-E570-4E40-AEC2-143FFC4DDABA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7-E570-4E40-AEC2-143FFC4DDABA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8-E570-4E40-AEC2-143FFC4DDABA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9-E570-4E40-AEC2-143FFC4DDABA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A-E570-4E40-AEC2-143FFC4DDABA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B-E570-4E40-AEC2-143FFC4DDABA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C-E570-4E40-AEC2-143FFC4DDABA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D-E570-4E40-AEC2-143FFC4DDABA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E-E570-4E40-AEC2-143FFC4DDABA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4F-E570-4E40-AEC2-143FFC4DDABA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0-E570-4E40-AEC2-143FFC4DDABA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1-E570-4E40-AEC2-143FFC4DDABA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2-E570-4E40-AEC2-143FFC4DDABA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3-E570-4E40-AEC2-143FFC4DDABA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4-E570-4E40-AEC2-143FFC4DDABA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5-E570-4E40-AEC2-143FFC4DDABA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6-E570-4E40-AEC2-143FFC4DDABA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7-E570-4E40-AEC2-143FFC4DDABA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8-E570-4E40-AEC2-143FFC4DDABA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9-E570-4E40-AEC2-143FFC4DDABA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A-E570-4E40-AEC2-143FFC4DDABA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B-E570-4E40-AEC2-143FFC4DDABA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C-E570-4E40-AEC2-143FFC4DDABA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D-E570-4E40-AEC2-143FFC4DDABA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E-E570-4E40-AEC2-143FFC4DDABA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5F-E570-4E40-AEC2-143FFC4DDABA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0-E570-4E40-AEC2-143FFC4DDABA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1-E570-4E40-AEC2-143FFC4DDABA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2-E570-4E40-AEC2-143FFC4DDABA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3-E570-4E40-AEC2-143FFC4DDABA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4-E570-4E40-AEC2-143FFC4DDABA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5-E570-4E40-AEC2-143FFC4DDABA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6-E570-4E40-AEC2-143FFC4DDABA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7-E570-4E40-AEC2-143FFC4DDABA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8-E570-4E40-AEC2-143FFC4DDABA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9-E570-4E40-AEC2-143FFC4DDABA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A-E570-4E40-AEC2-143FFC4DDABA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B-E570-4E40-AEC2-143FFC4DDABA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C-E570-4E40-AEC2-143FFC4DDABA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D-E570-4E40-AEC2-143FFC4DDABA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E-E570-4E40-AEC2-143FFC4DDABA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6F-E570-4E40-AEC2-143FFC4DDABA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0-E570-4E40-AEC2-143FFC4DDABA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1-E570-4E40-AEC2-143FFC4DDABA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2-E570-4E40-AEC2-143FFC4DDABA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3-E570-4E40-AEC2-143FFC4DDABA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4-E570-4E40-AEC2-143FFC4DDABA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5-E570-4E40-AEC2-143FFC4DDABA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6-E570-4E40-AEC2-143FFC4DDABA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7-E570-4E40-AEC2-143FFC4DDABA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8-E570-4E40-AEC2-143FFC4DDABA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9-E570-4E40-AEC2-143FFC4DDABA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A-E570-4E40-AEC2-143FFC4DDABA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B-E570-4E40-AEC2-143FFC4DDABA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C-E570-4E40-AEC2-143FFC4DDABA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D-E570-4E40-AEC2-143FFC4DDABA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E-E570-4E40-AEC2-143FFC4DDABA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7F-E570-4E40-AEC2-143FFC4DDABA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0-E570-4E40-AEC2-143FFC4DDABA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1-E570-4E40-AEC2-143FFC4DDABA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2-E570-4E40-AEC2-143FFC4DDABA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3-E570-4E40-AEC2-143FFC4DDABA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4-E570-4E40-AEC2-143FFC4DDABA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5-E570-4E40-AEC2-143FFC4DDABA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6-E570-4E40-AEC2-143FFC4DDABA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7-E570-4E40-AEC2-143FFC4DDABA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8-E570-4E40-AEC2-143FFC4DDABA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9-E570-4E40-AEC2-143FFC4DDABA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A-E570-4E40-AEC2-143FFC4DDABA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B-E570-4E40-AEC2-143FFC4DDABA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C-E570-4E40-AEC2-143FFC4DDABA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D-E570-4E40-AEC2-143FFC4DDABA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E-E570-4E40-AEC2-143FFC4DDABA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8F-E570-4E40-AEC2-143FFC4DDABA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0-E570-4E40-AEC2-143FFC4DDABA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1-E570-4E40-AEC2-143FFC4DDABA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2-E570-4E40-AEC2-143FFC4DDABA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3-E570-4E40-AEC2-143FFC4DDABA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4-E570-4E40-AEC2-143FFC4DDABA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5-E570-4E40-AEC2-143FFC4DDABA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6-E570-4E40-AEC2-143FFC4DDABA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7-E570-4E40-AEC2-143FFC4DDABA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8-E570-4E40-AEC2-143FFC4DDABA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9-E570-4E40-AEC2-143FFC4DDABA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A-E570-4E40-AEC2-143FFC4DDABA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B-E570-4E40-AEC2-143FFC4DDABA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C-E570-4E40-AEC2-143FFC4DDABA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D-E570-4E40-AEC2-143FFC4DDABA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E-E570-4E40-AEC2-143FFC4DDABA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9F-E570-4E40-AEC2-143FFC4DDABA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0-E570-4E40-AEC2-143FFC4DDABA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1-E570-4E40-AEC2-143FFC4DDABA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2-E570-4E40-AEC2-143FFC4DDABA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3-E570-4E40-AEC2-143FFC4DDABA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4-E570-4E40-AEC2-143FFC4DDABA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5-E570-4E40-AEC2-143FFC4DDABA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6-E570-4E40-AEC2-143FFC4DDABA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7-E570-4E40-AEC2-143FFC4DDABA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8-E570-4E40-AEC2-143FFC4DDABA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9-E570-4E40-AEC2-143FFC4DDABA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A-E570-4E40-AEC2-143FFC4DDABA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B-E570-4E40-AEC2-143FFC4DDABA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E570-4E40-AEC2-143FFC4DDABA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D-E570-4E40-AEC2-143FFC4DDABA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E-E570-4E40-AEC2-143FFC4DDABA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F-E570-4E40-AEC2-143FFC4DDABA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0-E570-4E40-AEC2-143FFC4DDABA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1-E570-4E40-AEC2-143FFC4DDABA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2-E570-4E40-AEC2-143FFC4DDABA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3-E570-4E40-AEC2-143FFC4DDABA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4-E570-4E40-AEC2-143FFC4DDABA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5-E570-4E40-AEC2-143FFC4DDABA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6-E570-4E40-AEC2-143FFC4DDABA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7-E570-4E40-AEC2-143FFC4DDABA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8-E570-4E40-AEC2-143FFC4DDABA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9-E570-4E40-AEC2-143FFC4DDABA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A-E570-4E40-AEC2-143FFC4DDABA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B-E570-4E40-AEC2-143FFC4DDABA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C-E570-4E40-AEC2-143FFC4DDABA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D-E570-4E40-AEC2-143FFC4DDABA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E-E570-4E40-AEC2-143FFC4DDABA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BF-E570-4E40-AEC2-143FFC4DDABA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0-E570-4E40-AEC2-143FFC4DDABA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1-E570-4E40-AEC2-143FFC4DDABA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2-E570-4E40-AEC2-143FFC4DDABA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3-E570-4E40-AEC2-143FFC4DDABA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4-E570-4E40-AEC2-143FFC4DDABA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5-E570-4E40-AEC2-143FFC4DDABA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6-E570-4E40-AEC2-143FFC4DDABA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7-E570-4E40-AEC2-143FFC4DDABA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8-E570-4E40-AEC2-143FFC4DDABA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9-E570-4E40-AEC2-143FFC4DDABA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A-E570-4E40-AEC2-143FFC4DDABA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B-E570-4E40-AEC2-143FFC4DDABA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C-E570-4E40-AEC2-143FFC4DDABA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D-E570-4E40-AEC2-143FFC4DDABA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E-E570-4E40-AEC2-143FFC4DDABA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CF-E570-4E40-AEC2-143FFC4DDABA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0-E570-4E40-AEC2-143FFC4DDABA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1-E570-4E40-AEC2-143FFC4DDABA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2-E570-4E40-AEC2-143FFC4DDABA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3-E570-4E40-AEC2-143FFC4DDABA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4-E570-4E40-AEC2-143FFC4DDABA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5-E570-4E40-AEC2-143FFC4DDABA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6-E570-4E40-AEC2-143FFC4DDABA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7-E570-4E40-AEC2-143FFC4DDABA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8-E570-4E40-AEC2-143FFC4DDABA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9-E570-4E40-AEC2-143FFC4DDABA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A-E570-4E40-AEC2-143FFC4DDABA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B-E570-4E40-AEC2-143FFC4DDABA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C-E570-4E40-AEC2-143FFC4DDABA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D-E570-4E40-AEC2-143FFC4DDABA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E-E570-4E40-AEC2-143FFC4DDABA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DF-E570-4E40-AEC2-143FFC4DDABA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0-E570-4E40-AEC2-143FFC4DDABA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1-E570-4E40-AEC2-143FFC4DDABA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2-E570-4E40-AEC2-143FFC4DDABA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3-E570-4E40-AEC2-143FFC4DDABA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4-E570-4E40-AEC2-143FFC4DDABA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5-E570-4E40-AEC2-143FFC4DDABA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6-E570-4E40-AEC2-143FFC4DDABA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7-E570-4E40-AEC2-143FFC4DDABA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8-E570-4E40-AEC2-143FFC4DDABA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9-E570-4E40-AEC2-143FFC4DDABA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A-E570-4E40-AEC2-143FFC4DDABA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B-E570-4E40-AEC2-143FFC4DDABA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C-E570-4E40-AEC2-143FFC4DDABA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D-E570-4E40-AEC2-143FFC4DDABA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E-E570-4E40-AEC2-143FFC4DDABA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EF-E570-4E40-AEC2-143FFC4DDABA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0-E570-4E40-AEC2-143FFC4DDABA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1-E570-4E40-AEC2-143FFC4DDABA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2-E570-4E40-AEC2-143FFC4DDABA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3-E570-4E40-AEC2-143FFC4DDABA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4-E570-4E40-AEC2-143FFC4DDABA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5-E570-4E40-AEC2-143FFC4DDABA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6-E570-4E40-AEC2-143FFC4DDABA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7-E570-4E40-AEC2-143FFC4DDABA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8-E570-4E40-AEC2-143FFC4DDABA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9-E570-4E40-AEC2-143FFC4DDABA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A-E570-4E40-AEC2-143FFC4DDABA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B-E570-4E40-AEC2-143FFC4DDABA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C-E570-4E40-AEC2-143FFC4DDABA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D-E570-4E40-AEC2-143FFC4DDABA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E-E570-4E40-AEC2-143FFC4DDABA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FF-E570-4E40-AEC2-143FFC4DDABA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0-E570-4E40-AEC2-143FFC4DDABA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1-E570-4E40-AEC2-143FFC4DDABA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2-E570-4E40-AEC2-143FFC4DDABA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3-E570-4E40-AEC2-143FFC4DDABA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4-E570-4E40-AEC2-143FFC4DDABA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5-E570-4E40-AEC2-143FFC4DDABA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6-E570-4E40-AEC2-143FFC4DDABA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7-E570-4E40-AEC2-143FFC4DDABA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8-E570-4E40-AEC2-143FFC4DDABA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9-E570-4E40-AEC2-143FFC4DDABA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A-E570-4E40-AEC2-143FFC4DDABA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B-E570-4E40-AEC2-143FFC4DDABA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C-E570-4E40-AEC2-143FFC4DDABA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D-E570-4E40-AEC2-143FFC4DDABA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E-E570-4E40-AEC2-143FFC4DDABA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0F-E570-4E40-AEC2-143FFC4DDABA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0-E570-4E40-AEC2-143FFC4DDABA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1-E570-4E40-AEC2-143FFC4DDABA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2-E570-4E40-AEC2-143FFC4DDABA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3-E570-4E40-AEC2-143FFC4DDABA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4-E570-4E40-AEC2-143FFC4DDABA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5-E570-4E40-AEC2-143FFC4DDABA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6-E570-4E40-AEC2-143FFC4DDABA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7-E570-4E40-AEC2-143FFC4DDABA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8-E570-4E40-AEC2-143FFC4DDABA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9-E570-4E40-AEC2-143FFC4DDABA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A-E570-4E40-AEC2-143FFC4DDABA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B-E570-4E40-AEC2-143FFC4DDABA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C-E570-4E40-AEC2-143FFC4DDABA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D-E570-4E40-AEC2-143FFC4DDABA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E-E570-4E40-AEC2-143FFC4DDABA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1F-E570-4E40-AEC2-143FFC4DDABA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0-E570-4E40-AEC2-143FFC4DDABA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1-E570-4E40-AEC2-143FFC4DDABA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2-E570-4E40-AEC2-143FFC4DDABA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3-E570-4E40-AEC2-143FFC4DDABA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4-E570-4E40-AEC2-143FFC4DDABA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5-E570-4E40-AEC2-143FFC4DDABA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6-E570-4E40-AEC2-143FFC4DDABA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7-E570-4E40-AEC2-143FFC4DDABA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8-E570-4E40-AEC2-143FFC4DDABA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9-E570-4E40-AEC2-143FFC4DDABA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A-E570-4E40-AEC2-143FFC4DDABA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B-E570-4E40-AEC2-143FFC4DDABA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C-E570-4E40-AEC2-143FFC4DDABA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D-E570-4E40-AEC2-143FFC4DDABA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E-E570-4E40-AEC2-143FFC4DDABA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2F-E570-4E40-AEC2-143FFC4DDABA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0-E570-4E40-AEC2-143FFC4DDABA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1-E570-4E40-AEC2-143FFC4DDABA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2-E570-4E40-AEC2-143FFC4DDABA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3-E570-4E40-AEC2-143FFC4DDABA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4-E570-4E40-AEC2-143FFC4DDABA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5-E570-4E40-AEC2-143FFC4DDABA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6-E570-4E40-AEC2-143FFC4DDABA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7-E570-4E40-AEC2-143FFC4DDABA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8-E570-4E40-AEC2-143FFC4DDABA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9-E570-4E40-AEC2-143FFC4DDABA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A-E570-4E40-AEC2-143FFC4DDABA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B-E570-4E40-AEC2-143FFC4DDABA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C-E570-4E40-AEC2-143FFC4DDABA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D-E570-4E40-AEC2-143FFC4DDABA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E-E570-4E40-AEC2-143FFC4DDABA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3F-E570-4E40-AEC2-143FFC4DDABA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0-E570-4E40-AEC2-143FFC4DDABA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1-E570-4E40-AEC2-143FFC4DDABA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2-E570-4E40-AEC2-143FFC4DDABA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3-E570-4E40-AEC2-143FFC4DDABA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4-E570-4E40-AEC2-143FFC4DDABA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5-E570-4E40-AEC2-143FFC4DDABA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6-E570-4E40-AEC2-143FFC4DDABA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7-E570-4E40-AEC2-143FFC4DDABA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8-E570-4E40-AEC2-143FFC4DDABA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9-E570-4E40-AEC2-143FFC4DDABA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A-E570-4E40-AEC2-143FFC4DDABA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B-E570-4E40-AEC2-143FFC4DDABA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C-E570-4E40-AEC2-143FFC4DDABA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D-E570-4E40-AEC2-143FFC4DDABA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E-E570-4E40-AEC2-143FFC4DDABA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4F-E570-4E40-AEC2-143FFC4DDABA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0-E570-4E40-AEC2-143FFC4DDABA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1-E570-4E40-AEC2-143FFC4DDABA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2-E570-4E40-AEC2-143FFC4DDABA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3-E570-4E40-AEC2-143FFC4DDABA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4-E570-4E40-AEC2-143FFC4DDABA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5-E570-4E40-AEC2-143FFC4DDABA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6-E570-4E40-AEC2-143FFC4DDABA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7-E570-4E40-AEC2-143FFC4DDABA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8-E570-4E40-AEC2-143FFC4DDABA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9-E570-4E40-AEC2-143FFC4DDABA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A-E570-4E40-AEC2-143FFC4DDABA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B-E570-4E40-AEC2-143FFC4DDABA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C-E570-4E40-AEC2-143FFC4DDABA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D-E570-4E40-AEC2-143FFC4DDABA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E-E570-4E40-AEC2-143FFC4DDABA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5F-E570-4E40-AEC2-143FFC4DDABA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0-E570-4E40-AEC2-143FFC4DDABA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1-E570-4E40-AEC2-143FFC4DDABA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2-E570-4E40-AEC2-143FFC4DDABA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3-E570-4E40-AEC2-143FFC4DDABA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4-E570-4E40-AEC2-143FFC4DDABA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5-E570-4E40-AEC2-143FFC4DDABA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6-E570-4E40-AEC2-143FFC4DDABA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7-E570-4E40-AEC2-143FFC4DDABA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8-E570-4E40-AEC2-143FFC4DDABA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9-E570-4E40-AEC2-143FFC4DDABA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A-E570-4E40-AEC2-143FFC4DDABA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B-E570-4E40-AEC2-143FFC4DDABA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C-E570-4E40-AEC2-143FFC4DDABA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D-E570-4E40-AEC2-143FFC4DDABA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E-E570-4E40-AEC2-143FFC4DDABA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6F-E570-4E40-AEC2-143FFC4DDABA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0-E570-4E40-AEC2-143FFC4DDABA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1-E570-4E40-AEC2-143FFC4DDABA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2-E570-4E40-AEC2-143FFC4DDABA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3-E570-4E40-AEC2-143FFC4DDABA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4-E570-4E40-AEC2-143FFC4DDABA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5-E570-4E40-AEC2-143FFC4DDABA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6-E570-4E40-AEC2-143FFC4DDABA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7-E570-4E40-AEC2-143FFC4DDABA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8-E570-4E40-AEC2-143FFC4DDABA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9-E570-4E40-AEC2-143FFC4DDABA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A-E570-4E40-AEC2-143FFC4DDABA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B-E570-4E40-AEC2-143FFC4DDABA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C-E570-4E40-AEC2-143FFC4DDABA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D-E570-4E40-AEC2-143FFC4DDABA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E-E570-4E40-AEC2-143FFC4DDABA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7F-E570-4E40-AEC2-143FFC4DDABA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0-E570-4E40-AEC2-143FFC4DDABA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1-E570-4E40-AEC2-143FFC4DDABA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2-E570-4E40-AEC2-143FFC4DDABA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3-E570-4E40-AEC2-143FFC4DDABA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4-E570-4E40-AEC2-143FFC4DDABA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5-E570-4E40-AEC2-143FFC4DDABA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6-E570-4E40-AEC2-143FFC4DDABA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7-E570-4E40-AEC2-143FFC4DDABA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8-E570-4E40-AEC2-143FFC4DDABA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9-E570-4E40-AEC2-143FFC4DDABA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A-E570-4E40-AEC2-143FFC4DDABA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B-E570-4E40-AEC2-143FFC4DDABA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C-E570-4E40-AEC2-143FFC4DDABA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D-E570-4E40-AEC2-143FFC4DDABA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E-E570-4E40-AEC2-143FFC4DDABA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8F-E570-4E40-AEC2-143FFC4DDABA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0-E570-4E40-AEC2-143FFC4DDABA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1-E570-4E40-AEC2-143FFC4DDABA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2-E570-4E40-AEC2-143FFC4DDABA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3-E570-4E40-AEC2-143FFC4DDABA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4-E570-4E40-AEC2-143FFC4DDABA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5-E570-4E40-AEC2-143FFC4DDABA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6-E570-4E40-AEC2-143FFC4DDABA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7-E570-4E40-AEC2-143FFC4DDABA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8-E570-4E40-AEC2-143FFC4DDABA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9-E570-4E40-AEC2-143FFC4DDABA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A-E570-4E40-AEC2-143FFC4DDABA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B-E570-4E40-AEC2-143FFC4DDABA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C-E570-4E40-AEC2-143FFC4DDABA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D-E570-4E40-AEC2-143FFC4DDABA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E-E570-4E40-AEC2-143FFC4DDABA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9F-E570-4E40-AEC2-143FFC4DDABA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0-E570-4E40-AEC2-143FFC4DDABA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1-E570-4E40-AEC2-143FFC4DDABA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2-E570-4E40-AEC2-143FFC4DDABA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3-E570-4E40-AEC2-143FFC4DDABA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4-E570-4E40-AEC2-143FFC4DDABA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5-E570-4E40-AEC2-143FFC4DDABA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6-E570-4E40-AEC2-143FFC4DDABA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7-E570-4E40-AEC2-143FFC4DDABA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8-E570-4E40-AEC2-143FFC4DDABA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9-E570-4E40-AEC2-143FFC4DDABA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A-E570-4E40-AEC2-143FFC4DDABA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B-E570-4E40-AEC2-143FFC4DDABA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C-E570-4E40-AEC2-143FFC4DDABA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D-E570-4E40-AEC2-143FFC4DDABA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E-E570-4E40-AEC2-143FFC4DDABA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AF-E570-4E40-AEC2-143FFC4DDABA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0-E570-4E40-AEC2-143FFC4DDABA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1-E570-4E40-AEC2-143FFC4DDABA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2-E570-4E40-AEC2-143FFC4DDABA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3-E570-4E40-AEC2-143FFC4DDABA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4-E570-4E40-AEC2-143FFC4DDABA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5-E570-4E40-AEC2-143FFC4DDABA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6-E570-4E40-AEC2-143FFC4DDABA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7-E570-4E40-AEC2-143FFC4DDABA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8-E570-4E40-AEC2-143FFC4DDABA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9-E570-4E40-AEC2-143FFC4DDABA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A-E570-4E40-AEC2-143FFC4DDABA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B-E570-4E40-AEC2-143FFC4DDABA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C-E570-4E40-AEC2-143FFC4DDABA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D-E570-4E40-AEC2-143FFC4DDABA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E-E570-4E40-AEC2-143FFC4DDABA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BF-E570-4E40-AEC2-143FFC4DDABA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0-E570-4E40-AEC2-143FFC4DDABA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1-E570-4E40-AEC2-143FFC4DDABA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2-E570-4E40-AEC2-143FFC4DDABA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3-E570-4E40-AEC2-143FFC4DDABA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4-E570-4E40-AEC2-143FFC4DDABA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5-E570-4E40-AEC2-143FFC4DDABA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6-E570-4E40-AEC2-143FFC4DDABA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7-E570-4E40-AEC2-143FFC4DDABA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8-E570-4E40-AEC2-143FFC4DDABA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9-E570-4E40-AEC2-143FFC4DDABA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A-E570-4E40-AEC2-143FFC4DDABA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B-E570-4E40-AEC2-143FFC4DDABA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C-E570-4E40-AEC2-143FFC4DDABA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D-E570-4E40-AEC2-143FFC4DDABA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E-E570-4E40-AEC2-143FFC4DDABA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CF-E570-4E40-AEC2-143FFC4DDABA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0-E570-4E40-AEC2-143FFC4DDABA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1-E570-4E40-AEC2-143FFC4DDABA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2-E570-4E40-AEC2-143FFC4DDABA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3-E570-4E40-AEC2-143FFC4DDABA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4-E570-4E40-AEC2-143FFC4DDABA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5-E570-4E40-AEC2-143FFC4DDABA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6-E570-4E40-AEC2-143FFC4DDABA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7-E570-4E40-AEC2-143FFC4DDABA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8-E570-4E40-AEC2-143FFC4DDABA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9-E570-4E40-AEC2-143FFC4DDABA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A-E570-4E40-AEC2-143FFC4DDABA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B-E570-4E40-AEC2-143FFC4DDABA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C-E570-4E40-AEC2-143FFC4DDABA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D-E570-4E40-AEC2-143FFC4DDABA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E-E570-4E40-AEC2-143FFC4DDABA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DF-E570-4E40-AEC2-143FFC4DDABA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0-E570-4E40-AEC2-143FFC4DDABA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1-E570-4E40-AEC2-143FFC4DDABA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2-E570-4E40-AEC2-143FFC4DDABA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3-E570-4E40-AEC2-143FFC4DDABA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4-E570-4E40-AEC2-143FFC4DDABA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5-E570-4E40-AEC2-143FFC4DDABA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6-E570-4E40-AEC2-143FFC4DDABA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7-E570-4E40-AEC2-143FFC4DDABA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8-E570-4E40-AEC2-143FFC4DDABA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9-E570-4E40-AEC2-143FFC4DDABA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lv-LV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3EA-E570-4E40-AEC2-143FFC4DDA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overflow" horzOverflow="overflow" vert="horz" wrap="square" lIns="0" tIns="0" rIns="0" bIns="0" anchor="ctr" anchorCtr="0">
                <a:spAutoFit/>
              </a:bodyPr>
              <a:lstStyle/>
              <a:p>
                <a:pPr>
                  <a:defRPr sz="3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PNPwizard!$C$2:$C$1003</c:f>
              <c:numCache>
                <c:formatCode>General</c:formatCode>
                <c:ptCount val="1002"/>
              </c:numCache>
            </c:numRef>
          </c:xVal>
          <c:yVal>
            <c:numRef>
              <c:f>PNPwizard!$D$2:$D$1003</c:f>
              <c:numCache>
                <c:formatCode>General</c:formatCode>
                <c:ptCount val="10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0-4E40-AEC2-143FFC4DDA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121863152"/>
        <c:axId val="-1121865872"/>
      </c:scatterChart>
      <c:valAx>
        <c:axId val="-1121863152"/>
        <c:scaling>
          <c:orientation val="minMax"/>
          <c:max val="157.02449999999999"/>
          <c:min val="8.9999000000000002"/>
        </c:scaling>
        <c:delete val="1"/>
        <c:axPos val="b"/>
        <c:numFmt formatCode="General" sourceLinked="1"/>
        <c:majorTickMark val="none"/>
        <c:minorTickMark val="none"/>
        <c:tickLblPos val="nextTo"/>
        <c:crossAx val="-1121865872"/>
        <c:crossesAt val="0"/>
        <c:crossBetween val="midCat"/>
      </c:valAx>
      <c:valAx>
        <c:axId val="-1121865872"/>
        <c:scaling>
          <c:orientation val="minMax"/>
          <c:max val="158.04909999999998"/>
          <c:min val="10.0245"/>
        </c:scaling>
        <c:delete val="1"/>
        <c:axPos val="l"/>
        <c:numFmt formatCode="General" sourceLinked="1"/>
        <c:majorTickMark val="none"/>
        <c:minorTickMark val="none"/>
        <c:tickLblPos val="nextTo"/>
        <c:crossAx val="-1121863152"/>
        <c:crossesAt val="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3</xdr:row>
          <xdr:rowOff>19050</xdr:rowOff>
        </xdr:from>
        <xdr:to>
          <xdr:col>5</xdr:col>
          <xdr:colOff>371475</xdr:colOff>
          <xdr:row>4</xdr:row>
          <xdr:rowOff>76200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Blocks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66676</xdr:colOff>
      <xdr:row>1</xdr:row>
      <xdr:rowOff>123824</xdr:rowOff>
    </xdr:from>
    <xdr:to>
      <xdr:col>22</xdr:col>
      <xdr:colOff>238125</xdr:colOff>
      <xdr:row>34</xdr:row>
      <xdr:rowOff>57148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47625</xdr:rowOff>
        </xdr:from>
        <xdr:to>
          <xdr:col>1</xdr:col>
          <xdr:colOff>381000</xdr:colOff>
          <xdr:row>0</xdr:row>
          <xdr:rowOff>285750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CCW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314325</xdr:rowOff>
        </xdr:from>
        <xdr:to>
          <xdr:col>1</xdr:col>
          <xdr:colOff>381000</xdr:colOff>
          <xdr:row>0</xdr:row>
          <xdr:rowOff>552450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Mirror horiz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0</xdr:row>
          <xdr:rowOff>47625</xdr:rowOff>
        </xdr:from>
        <xdr:to>
          <xdr:col>1</xdr:col>
          <xdr:colOff>1562100</xdr:colOff>
          <xdr:row>0</xdr:row>
          <xdr:rowOff>285750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CW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0</xdr:row>
          <xdr:rowOff>314325</xdr:rowOff>
        </xdr:from>
        <xdr:to>
          <xdr:col>1</xdr:col>
          <xdr:colOff>1562100</xdr:colOff>
          <xdr:row>0</xdr:row>
          <xdr:rowOff>552450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Mirror vert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47625</xdr:rowOff>
        </xdr:from>
        <xdr:to>
          <xdr:col>3</xdr:col>
          <xdr:colOff>295275</xdr:colOff>
          <xdr:row>0</xdr:row>
          <xdr:rowOff>285750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(Auto)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314325</xdr:rowOff>
        </xdr:from>
        <xdr:to>
          <xdr:col>3</xdr:col>
          <xdr:colOff>295275</xdr:colOff>
          <xdr:row>0</xdr:row>
          <xdr:rowOff>552450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47625</xdr:rowOff>
        </xdr:from>
        <xdr:to>
          <xdr:col>4</xdr:col>
          <xdr:colOff>685800</xdr:colOff>
          <xdr:row>0</xdr:row>
          <xdr:rowOff>285750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values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314325</xdr:rowOff>
        </xdr:from>
        <xdr:to>
          <xdr:col>4</xdr:col>
          <xdr:colOff>685800</xdr:colOff>
          <xdr:row>0</xdr:row>
          <xdr:rowOff>552450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47625</xdr:rowOff>
        </xdr:from>
        <xdr:to>
          <xdr:col>6</xdr:col>
          <xdr:colOff>57150</xdr:colOff>
          <xdr:row>0</xdr:row>
          <xdr:rowOff>285750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PNP (Mirae)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314325</xdr:rowOff>
        </xdr:from>
        <xdr:to>
          <xdr:col>6</xdr:col>
          <xdr:colOff>57150</xdr:colOff>
          <xdr:row>0</xdr:row>
          <xdr:rowOff>552450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EXCEL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47625</xdr:rowOff>
        </xdr:from>
        <xdr:to>
          <xdr:col>8</xdr:col>
          <xdr:colOff>123825</xdr:colOff>
          <xdr:row>0</xdr:row>
          <xdr:rowOff>285750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PNP (Yamaha)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0</xdr:row>
          <xdr:rowOff>47625</xdr:rowOff>
        </xdr:from>
        <xdr:to>
          <xdr:col>12</xdr:col>
          <xdr:colOff>66675</xdr:colOff>
          <xdr:row>0</xdr:row>
          <xdr:rowOff>285750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0</xdr:row>
          <xdr:rowOff>323850</xdr:rowOff>
        </xdr:from>
        <xdr:to>
          <xdr:col>12</xdr:col>
          <xdr:colOff>66675</xdr:colOff>
          <xdr:row>0</xdr:row>
          <xdr:rowOff>561975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SCRIPT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0</xdr:row>
          <xdr:rowOff>47625</xdr:rowOff>
        </xdr:from>
        <xdr:to>
          <xdr:col>13</xdr:col>
          <xdr:colOff>581025</xdr:colOff>
          <xdr:row>0</xdr:row>
          <xdr:rowOff>285750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(Manual)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0</xdr:row>
          <xdr:rowOff>323850</xdr:rowOff>
        </xdr:from>
        <xdr:to>
          <xdr:col>13</xdr:col>
          <xdr:colOff>590550</xdr:colOff>
          <xdr:row>0</xdr:row>
          <xdr:rowOff>561975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11</xdr:col>
      <xdr:colOff>133957</xdr:colOff>
      <xdr:row>35</xdr:row>
      <xdr:rowOff>174014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323850</xdr:colOff>
          <xdr:row>0</xdr:row>
          <xdr:rowOff>333375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3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Values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0</xdr:row>
          <xdr:rowOff>85725</xdr:rowOff>
        </xdr:from>
        <xdr:to>
          <xdr:col>6</xdr:col>
          <xdr:colOff>571500</xdr:colOff>
          <xdr:row>0</xdr:row>
          <xdr:rowOff>333375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BOM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85725</xdr:rowOff>
        </xdr:from>
        <xdr:to>
          <xdr:col>9</xdr:col>
          <xdr:colOff>219075</xdr:colOff>
          <xdr:row>0</xdr:row>
          <xdr:rowOff>333375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Deskto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N169"/>
  <sheetViews>
    <sheetView tabSelected="1" zoomScaleNormal="100" workbookViewId="0">
      <selection activeCell="D1" sqref="D1"/>
    </sheetView>
  </sheetViews>
  <sheetFormatPr defaultRowHeight="15" x14ac:dyDescent="0.25"/>
  <cols>
    <col min="1" max="1" width="24.5703125" style="12" bestFit="1" customWidth="1"/>
    <col min="2" max="2" width="48.7109375" style="30" bestFit="1" customWidth="1"/>
    <col min="7" max="7" width="35.42578125" customWidth="1"/>
    <col min="8" max="8" width="10.85546875" style="13" customWidth="1"/>
    <col min="9" max="9" width="2.7109375" customWidth="1"/>
    <col min="10" max="10" width="18.85546875" style="18" bestFit="1" customWidth="1"/>
    <col min="11" max="11" width="7" style="22" customWidth="1"/>
  </cols>
  <sheetData>
    <row r="1" spans="1:14" x14ac:dyDescent="0.25">
      <c r="A1" s="14" t="s">
        <v>44</v>
      </c>
      <c r="B1" s="43" t="s">
        <v>494</v>
      </c>
      <c r="D1" s="17"/>
      <c r="G1" s="11" t="s">
        <v>52</v>
      </c>
      <c r="H1" s="11" t="s">
        <v>51</v>
      </c>
      <c r="I1" s="13"/>
      <c r="J1" s="20" t="s">
        <v>74</v>
      </c>
      <c r="K1" s="21" t="s">
        <v>103</v>
      </c>
      <c r="M1" s="39" t="s">
        <v>302</v>
      </c>
      <c r="N1" s="40"/>
    </row>
    <row r="2" spans="1:14" x14ac:dyDescent="0.25">
      <c r="A2" s="14" t="s">
        <v>297</v>
      </c>
      <c r="B2" s="30" t="s">
        <v>455</v>
      </c>
      <c r="G2" s="13" t="s">
        <v>220</v>
      </c>
      <c r="H2" s="13" t="s">
        <v>53</v>
      </c>
      <c r="I2" s="13"/>
      <c r="J2" s="18" t="s">
        <v>30</v>
      </c>
      <c r="K2" s="22" t="s">
        <v>104</v>
      </c>
      <c r="M2" s="41">
        <f>IF('Project Data'!$B$2="BOT",_xlfn.NUMBERVALUE(LEFT('Project Data'!$B6,FIND(";",'Project Data'!$B6)-1)),_xlfn.NUMBERVALUE(LEFT('Project Data'!$B8,FIND(";",'Project Data'!$B8)-1)))</f>
        <v>0</v>
      </c>
      <c r="N2" s="41">
        <f>IF('Project Data'!$B$2="BOT",_xlfn.NUMBERVALUE(RIGHT('Project Data'!$B6,LEN('Project Data'!$B6)-FIND(";",'Project Data'!$B6))),_xlfn.NUMBERVALUE(RIGHT('Project Data'!$B8,LEN('Project Data'!$B8)-FIND(";",'Project Data'!$B8))))</f>
        <v>0</v>
      </c>
    </row>
    <row r="3" spans="1:14" x14ac:dyDescent="0.25">
      <c r="A3" s="14" t="s">
        <v>292</v>
      </c>
      <c r="B3" s="15" t="s">
        <v>456</v>
      </c>
      <c r="G3" s="13" t="s">
        <v>221</v>
      </c>
      <c r="H3" s="13" t="s">
        <v>56</v>
      </c>
      <c r="I3" s="13"/>
      <c r="J3" s="18" t="s">
        <v>31</v>
      </c>
      <c r="K3" s="22" t="s">
        <v>104</v>
      </c>
      <c r="M3" s="41">
        <f>IF('Project Data'!$B$2="BOT",_xlfn.NUMBERVALUE(LEFT('Project Data'!$B7,FIND(";",'Project Data'!$B7)-1)),_xlfn.NUMBERVALUE(LEFT('Project Data'!$B9,FIND(";",'Project Data'!$B9)-1)))</f>
        <v>0</v>
      </c>
      <c r="N3" s="41">
        <f>IF('Project Data'!$B$2="BOT",_xlfn.NUMBERVALUE(RIGHT('Project Data'!$B7,LEN('Project Data'!$B7)-FIND(";",'Project Data'!$B7))),_xlfn.NUMBERVALUE(RIGHT('Project Data'!$B9,LEN('Project Data'!$B9)-FIND(";",'Project Data'!$B9))))</f>
        <v>0</v>
      </c>
    </row>
    <row r="4" spans="1:14" x14ac:dyDescent="0.25">
      <c r="A4" s="14" t="s">
        <v>294</v>
      </c>
      <c r="B4" s="43" t="s">
        <v>425</v>
      </c>
      <c r="G4" s="13" t="s">
        <v>222</v>
      </c>
      <c r="H4" s="13" t="s">
        <v>111</v>
      </c>
      <c r="I4" s="13"/>
      <c r="J4" s="18" t="s">
        <v>29</v>
      </c>
      <c r="K4" s="22" t="s">
        <v>104</v>
      </c>
    </row>
    <row r="5" spans="1:14" x14ac:dyDescent="0.25">
      <c r="A5" s="14" t="s">
        <v>295</v>
      </c>
      <c r="B5" s="43" t="s">
        <v>425</v>
      </c>
      <c r="G5" s="13" t="s">
        <v>223</v>
      </c>
      <c r="H5" s="13" t="s">
        <v>57</v>
      </c>
      <c r="I5" s="13"/>
      <c r="J5" s="18" t="s">
        <v>9</v>
      </c>
      <c r="K5" s="22" t="s">
        <v>104</v>
      </c>
      <c r="M5" s="39" t="s">
        <v>303</v>
      </c>
      <c r="N5" s="40"/>
    </row>
    <row r="6" spans="1:14" x14ac:dyDescent="0.25">
      <c r="A6" s="14" t="s">
        <v>298</v>
      </c>
      <c r="B6" s="43" t="s">
        <v>425</v>
      </c>
      <c r="G6" s="13" t="s">
        <v>224</v>
      </c>
      <c r="H6" s="13" t="s">
        <v>60</v>
      </c>
      <c r="I6" s="13"/>
      <c r="J6" s="18" t="s">
        <v>153</v>
      </c>
      <c r="K6" s="22" t="s">
        <v>104</v>
      </c>
      <c r="M6" s="41">
        <f>_xlfn.NUMBERVALUE(LEFT('Project Data'!$B3,FIND(";",'Project Data'!$B3)-1))</f>
        <v>0</v>
      </c>
      <c r="N6" s="41">
        <f>_xlfn.NUMBERVALUE(MID('Project Data'!$B3,FIND(";",'Project Data'!$B3)+1,FIND(";",'Project Data'!$B3,FIND(";",'Project Data'!$B3)+1)-FIND(";",'Project Data'!$B3)-1))</f>
        <v>0</v>
      </c>
    </row>
    <row r="7" spans="1:14" x14ac:dyDescent="0.25">
      <c r="A7" s="14" t="s">
        <v>299</v>
      </c>
      <c r="B7" s="43" t="s">
        <v>425</v>
      </c>
      <c r="G7" s="13" t="s">
        <v>225</v>
      </c>
      <c r="H7" s="13" t="s">
        <v>58</v>
      </c>
      <c r="I7" s="13"/>
      <c r="J7" s="18" t="s">
        <v>10</v>
      </c>
      <c r="K7" s="22" t="s">
        <v>104</v>
      </c>
      <c r="M7" s="41">
        <v>0</v>
      </c>
      <c r="N7" s="41">
        <v>0</v>
      </c>
    </row>
    <row r="8" spans="1:14" x14ac:dyDescent="0.25">
      <c r="A8" s="14" t="s">
        <v>300</v>
      </c>
      <c r="B8" s="43" t="s">
        <v>425</v>
      </c>
      <c r="G8" s="13" t="s">
        <v>226</v>
      </c>
      <c r="H8" s="13" t="s">
        <v>146</v>
      </c>
      <c r="I8" s="13"/>
      <c r="J8" s="18" t="s">
        <v>33</v>
      </c>
      <c r="K8" s="22" t="s">
        <v>104</v>
      </c>
      <c r="M8" s="41">
        <v>0</v>
      </c>
      <c r="N8" s="41">
        <f>N6</f>
        <v>0</v>
      </c>
    </row>
    <row r="9" spans="1:14" x14ac:dyDescent="0.25">
      <c r="A9" s="14" t="s">
        <v>301</v>
      </c>
      <c r="B9" s="43" t="s">
        <v>425</v>
      </c>
      <c r="G9" s="13" t="s">
        <v>227</v>
      </c>
      <c r="H9" s="13" t="s">
        <v>208</v>
      </c>
      <c r="I9" s="13"/>
      <c r="J9" s="18" t="s">
        <v>32</v>
      </c>
      <c r="K9" s="22" t="s">
        <v>104</v>
      </c>
      <c r="M9" s="41">
        <f>M6</f>
        <v>0</v>
      </c>
      <c r="N9" s="41">
        <f>N6</f>
        <v>0</v>
      </c>
    </row>
    <row r="10" spans="1:14" x14ac:dyDescent="0.25">
      <c r="G10" s="13" t="s">
        <v>228</v>
      </c>
      <c r="H10" s="13" t="s">
        <v>68</v>
      </c>
      <c r="I10" s="13"/>
      <c r="J10" s="18" t="s">
        <v>115</v>
      </c>
      <c r="K10" s="22" t="s">
        <v>105</v>
      </c>
      <c r="M10" s="41">
        <f>M6</f>
        <v>0</v>
      </c>
      <c r="N10" s="41">
        <v>0</v>
      </c>
    </row>
    <row r="11" spans="1:14" x14ac:dyDescent="0.25">
      <c r="A11" s="14" t="s">
        <v>41</v>
      </c>
      <c r="B11" s="60" t="s">
        <v>424</v>
      </c>
      <c r="G11" s="13" t="s">
        <v>229</v>
      </c>
      <c r="H11" s="13" t="s">
        <v>69</v>
      </c>
      <c r="I11" s="13"/>
      <c r="J11" s="18" t="s">
        <v>116</v>
      </c>
      <c r="K11" s="22" t="s">
        <v>105</v>
      </c>
      <c r="M11" s="41">
        <v>0</v>
      </c>
      <c r="N11" s="41">
        <v>0</v>
      </c>
    </row>
    <row r="12" spans="1:14" x14ac:dyDescent="0.25">
      <c r="G12" s="13" t="s">
        <v>230</v>
      </c>
      <c r="H12" s="13" t="s">
        <v>110</v>
      </c>
      <c r="I12" s="13"/>
      <c r="J12" s="18" t="s">
        <v>75</v>
      </c>
      <c r="K12" s="22" t="s">
        <v>105</v>
      </c>
    </row>
    <row r="13" spans="1:14" x14ac:dyDescent="0.25">
      <c r="A13" s="14" t="s">
        <v>40</v>
      </c>
      <c r="B13" s="15" t="s">
        <v>296</v>
      </c>
      <c r="G13" s="18" t="s">
        <v>231</v>
      </c>
      <c r="H13" s="13" t="s">
        <v>107</v>
      </c>
      <c r="I13" s="13"/>
      <c r="J13" s="18" t="s">
        <v>195</v>
      </c>
      <c r="K13" s="22" t="s">
        <v>105</v>
      </c>
    </row>
    <row r="14" spans="1:14" x14ac:dyDescent="0.25">
      <c r="A14" s="36" t="s">
        <v>45</v>
      </c>
      <c r="B14" s="37" t="s">
        <v>291</v>
      </c>
      <c r="G14" s="18" t="s">
        <v>232</v>
      </c>
      <c r="H14" s="13" t="s">
        <v>54</v>
      </c>
      <c r="I14" s="13"/>
      <c r="J14" s="18" t="s">
        <v>76</v>
      </c>
      <c r="K14" s="22" t="s">
        <v>105</v>
      </c>
    </row>
    <row r="15" spans="1:14" x14ac:dyDescent="0.25">
      <c r="A15" s="36" t="s">
        <v>39</v>
      </c>
      <c r="B15" s="37" t="s">
        <v>291</v>
      </c>
      <c r="G15" s="18" t="s">
        <v>254</v>
      </c>
      <c r="H15" s="13" t="s">
        <v>56</v>
      </c>
      <c r="I15" s="13"/>
      <c r="J15" s="18" t="s">
        <v>216</v>
      </c>
      <c r="K15" s="22" t="s">
        <v>105</v>
      </c>
    </row>
    <row r="16" spans="1:14" x14ac:dyDescent="0.25">
      <c r="A16" s="36" t="s">
        <v>43</v>
      </c>
      <c r="B16" s="37" t="s">
        <v>291</v>
      </c>
      <c r="G16" s="18" t="s">
        <v>256</v>
      </c>
      <c r="H16" s="13" t="s">
        <v>55</v>
      </c>
      <c r="I16" s="13"/>
      <c r="J16" s="18" t="s">
        <v>219</v>
      </c>
      <c r="K16" s="22" t="s">
        <v>105</v>
      </c>
    </row>
    <row r="17" spans="1:11" x14ac:dyDescent="0.25">
      <c r="G17" s="13" t="s">
        <v>275</v>
      </c>
      <c r="H17" s="13" t="s">
        <v>106</v>
      </c>
      <c r="I17" s="13"/>
      <c r="J17" s="18" t="s">
        <v>180</v>
      </c>
      <c r="K17" s="22" t="s">
        <v>105</v>
      </c>
    </row>
    <row r="18" spans="1:11" x14ac:dyDescent="0.25">
      <c r="A18" s="14" t="s">
        <v>293</v>
      </c>
      <c r="G18" s="18" t="s">
        <v>255</v>
      </c>
      <c r="H18" s="13" t="s">
        <v>55</v>
      </c>
      <c r="I18" s="13"/>
      <c r="J18" s="18" t="s">
        <v>196</v>
      </c>
      <c r="K18" s="22" t="s">
        <v>105</v>
      </c>
    </row>
    <row r="19" spans="1:11" x14ac:dyDescent="0.25">
      <c r="A19" s="38">
        <v>2</v>
      </c>
      <c r="G19" s="18" t="s">
        <v>272</v>
      </c>
      <c r="H19" s="13" t="s">
        <v>273</v>
      </c>
      <c r="I19" s="13"/>
      <c r="J19" s="18" t="s">
        <v>179</v>
      </c>
      <c r="K19" s="22" t="s">
        <v>105</v>
      </c>
    </row>
    <row r="20" spans="1:11" x14ac:dyDescent="0.25">
      <c r="A20" s="38">
        <v>3</v>
      </c>
      <c r="G20" s="18" t="s">
        <v>276</v>
      </c>
      <c r="H20" s="18" t="s">
        <v>106</v>
      </c>
      <c r="I20" s="13"/>
      <c r="J20" s="18" t="s">
        <v>218</v>
      </c>
      <c r="K20" s="22" t="s">
        <v>105</v>
      </c>
    </row>
    <row r="21" spans="1:11" x14ac:dyDescent="0.25">
      <c r="A21" s="38">
        <v>4</v>
      </c>
      <c r="G21" s="13" t="s">
        <v>233</v>
      </c>
      <c r="H21" s="13" t="s">
        <v>53</v>
      </c>
      <c r="I21" s="13"/>
      <c r="J21" s="18" t="s">
        <v>77</v>
      </c>
      <c r="K21" s="22" t="s">
        <v>105</v>
      </c>
    </row>
    <row r="22" spans="1:11" x14ac:dyDescent="0.25">
      <c r="A22" s="42" t="s">
        <v>304</v>
      </c>
      <c r="G22" s="13" t="s">
        <v>234</v>
      </c>
      <c r="H22" s="13" t="s">
        <v>71</v>
      </c>
      <c r="I22" s="13"/>
      <c r="J22" s="18" t="s">
        <v>34</v>
      </c>
      <c r="K22" s="22" t="s">
        <v>104</v>
      </c>
    </row>
    <row r="23" spans="1:11" x14ac:dyDescent="0.25">
      <c r="G23" s="13" t="s">
        <v>235</v>
      </c>
      <c r="H23" s="13" t="s">
        <v>108</v>
      </c>
      <c r="I23" s="13"/>
      <c r="J23" s="18" t="s">
        <v>6</v>
      </c>
      <c r="K23" s="22" t="s">
        <v>104</v>
      </c>
    </row>
    <row r="24" spans="1:11" x14ac:dyDescent="0.25">
      <c r="G24" s="13" t="s">
        <v>236</v>
      </c>
      <c r="H24" s="13" t="s">
        <v>109</v>
      </c>
      <c r="I24" s="13"/>
      <c r="J24" s="18" t="s">
        <v>117</v>
      </c>
      <c r="K24" s="22" t="s">
        <v>104</v>
      </c>
    </row>
    <row r="25" spans="1:11" x14ac:dyDescent="0.25">
      <c r="G25" s="13" t="s">
        <v>237</v>
      </c>
      <c r="H25" s="13" t="s">
        <v>106</v>
      </c>
      <c r="I25" s="13"/>
      <c r="J25" s="18" t="s">
        <v>278</v>
      </c>
      <c r="K25" s="22" t="s">
        <v>105</v>
      </c>
    </row>
    <row r="26" spans="1:11" x14ac:dyDescent="0.25">
      <c r="G26" s="13" t="s">
        <v>238</v>
      </c>
      <c r="H26" s="13" t="s">
        <v>53</v>
      </c>
      <c r="I26" s="13"/>
      <c r="J26" s="18" t="s">
        <v>42</v>
      </c>
      <c r="K26" s="22" t="s">
        <v>105</v>
      </c>
    </row>
    <row r="27" spans="1:11" x14ac:dyDescent="0.25">
      <c r="G27" s="13" t="s">
        <v>239</v>
      </c>
      <c r="H27" s="18" t="s">
        <v>59</v>
      </c>
      <c r="I27" s="13"/>
      <c r="J27" s="18" t="s">
        <v>78</v>
      </c>
      <c r="K27" s="22" t="s">
        <v>105</v>
      </c>
    </row>
    <row r="28" spans="1:11" x14ac:dyDescent="0.25">
      <c r="G28" s="13" t="s">
        <v>240</v>
      </c>
      <c r="H28" s="18" t="s">
        <v>149</v>
      </c>
      <c r="I28" s="13"/>
      <c r="J28" s="18" t="s">
        <v>114</v>
      </c>
      <c r="K28" s="22" t="s">
        <v>105</v>
      </c>
    </row>
    <row r="29" spans="1:11" x14ac:dyDescent="0.25">
      <c r="G29" s="13" t="s">
        <v>241</v>
      </c>
      <c r="H29" s="13" t="s">
        <v>112</v>
      </c>
      <c r="J29" s="18" t="s">
        <v>152</v>
      </c>
      <c r="K29" s="22" t="s">
        <v>105</v>
      </c>
    </row>
    <row r="30" spans="1:11" x14ac:dyDescent="0.25">
      <c r="G30" s="13" t="s">
        <v>242</v>
      </c>
      <c r="H30" s="13" t="s">
        <v>121</v>
      </c>
      <c r="J30" s="18" t="s">
        <v>79</v>
      </c>
      <c r="K30" s="22" t="s">
        <v>105</v>
      </c>
    </row>
    <row r="31" spans="1:11" x14ac:dyDescent="0.25">
      <c r="G31" s="13" t="s">
        <v>257</v>
      </c>
      <c r="H31" s="13" t="s">
        <v>210</v>
      </c>
      <c r="J31" s="18" t="s">
        <v>80</v>
      </c>
      <c r="K31" s="22" t="s">
        <v>105</v>
      </c>
    </row>
    <row r="32" spans="1:11" x14ac:dyDescent="0.25">
      <c r="G32" s="13" t="s">
        <v>243</v>
      </c>
      <c r="H32" s="13" t="s">
        <v>61</v>
      </c>
      <c r="J32" s="18" t="s">
        <v>73</v>
      </c>
      <c r="K32" s="22" t="s">
        <v>104</v>
      </c>
    </row>
    <row r="33" spans="7:11" x14ac:dyDescent="0.25">
      <c r="G33" s="13" t="s">
        <v>244</v>
      </c>
      <c r="H33" s="13" t="s">
        <v>62</v>
      </c>
      <c r="J33" s="18" t="s">
        <v>81</v>
      </c>
      <c r="K33" s="22" t="s">
        <v>104</v>
      </c>
    </row>
    <row r="34" spans="7:11" x14ac:dyDescent="0.25">
      <c r="G34" s="13" t="s">
        <v>259</v>
      </c>
      <c r="H34" s="13" t="s">
        <v>147</v>
      </c>
      <c r="J34" s="18" t="s">
        <v>82</v>
      </c>
      <c r="K34" s="22" t="s">
        <v>105</v>
      </c>
    </row>
    <row r="35" spans="7:11" x14ac:dyDescent="0.25">
      <c r="G35" s="13" t="s">
        <v>260</v>
      </c>
      <c r="H35" s="13" t="s">
        <v>261</v>
      </c>
      <c r="J35" s="18" t="s">
        <v>212</v>
      </c>
      <c r="K35" s="22" t="s">
        <v>105</v>
      </c>
    </row>
    <row r="36" spans="7:11" x14ac:dyDescent="0.25">
      <c r="G36" s="13" t="s">
        <v>245</v>
      </c>
      <c r="H36" s="13" t="s">
        <v>63</v>
      </c>
      <c r="J36" s="18" t="s">
        <v>193</v>
      </c>
      <c r="K36" s="22" t="s">
        <v>104</v>
      </c>
    </row>
    <row r="37" spans="7:11" x14ac:dyDescent="0.25">
      <c r="G37" s="13" t="s">
        <v>246</v>
      </c>
      <c r="H37" s="13" t="s">
        <v>113</v>
      </c>
      <c r="J37" s="18" t="s">
        <v>289</v>
      </c>
      <c r="K37" s="22" t="s">
        <v>104</v>
      </c>
    </row>
    <row r="38" spans="7:11" x14ac:dyDescent="0.25">
      <c r="G38" s="13" t="s">
        <v>247</v>
      </c>
      <c r="H38" s="13" t="s">
        <v>64</v>
      </c>
      <c r="J38" s="18" t="s">
        <v>118</v>
      </c>
      <c r="K38" s="22" t="s">
        <v>104</v>
      </c>
    </row>
    <row r="39" spans="7:11" x14ac:dyDescent="0.25">
      <c r="G39" s="13" t="s">
        <v>248</v>
      </c>
      <c r="H39" s="13" t="s">
        <v>65</v>
      </c>
      <c r="J39" s="18" t="s">
        <v>119</v>
      </c>
      <c r="K39" s="22" t="s">
        <v>104</v>
      </c>
    </row>
    <row r="40" spans="7:11" x14ac:dyDescent="0.25">
      <c r="G40" s="13" t="s">
        <v>249</v>
      </c>
      <c r="H40" s="13" t="s">
        <v>66</v>
      </c>
      <c r="J40" s="18" t="s">
        <v>83</v>
      </c>
      <c r="K40" s="22" t="s">
        <v>105</v>
      </c>
    </row>
    <row r="41" spans="7:11" x14ac:dyDescent="0.25">
      <c r="G41" s="13" t="s">
        <v>250</v>
      </c>
      <c r="H41" s="13" t="s">
        <v>106</v>
      </c>
      <c r="J41" s="18" t="s">
        <v>12</v>
      </c>
      <c r="K41" s="22" t="s">
        <v>105</v>
      </c>
    </row>
    <row r="42" spans="7:11" x14ac:dyDescent="0.25">
      <c r="G42" s="13" t="s">
        <v>251</v>
      </c>
      <c r="H42" s="18" t="s">
        <v>148</v>
      </c>
      <c r="J42" s="18" t="s">
        <v>188</v>
      </c>
      <c r="K42" s="22" t="s">
        <v>105</v>
      </c>
    </row>
    <row r="43" spans="7:11" x14ac:dyDescent="0.25">
      <c r="G43" s="13" t="s">
        <v>265</v>
      </c>
      <c r="H43" s="13" t="s">
        <v>67</v>
      </c>
      <c r="J43" s="18" t="s">
        <v>151</v>
      </c>
      <c r="K43" s="22" t="s">
        <v>105</v>
      </c>
    </row>
    <row r="44" spans="7:11" x14ac:dyDescent="0.25">
      <c r="G44" s="13" t="s">
        <v>266</v>
      </c>
      <c r="H44" s="13" t="s">
        <v>267</v>
      </c>
      <c r="J44" s="18" t="s">
        <v>279</v>
      </c>
      <c r="K44" s="22" t="s">
        <v>105</v>
      </c>
    </row>
    <row r="45" spans="7:11" x14ac:dyDescent="0.25">
      <c r="G45" s="13" t="s">
        <v>252</v>
      </c>
      <c r="H45" s="13" t="s">
        <v>70</v>
      </c>
      <c r="J45" s="18" t="s">
        <v>189</v>
      </c>
      <c r="K45" s="22" t="s">
        <v>105</v>
      </c>
    </row>
    <row r="46" spans="7:11" x14ac:dyDescent="0.25">
      <c r="G46" s="13" t="s">
        <v>258</v>
      </c>
      <c r="H46" s="18" t="s">
        <v>269</v>
      </c>
      <c r="J46" s="18" t="s">
        <v>190</v>
      </c>
      <c r="K46" s="22" t="s">
        <v>105</v>
      </c>
    </row>
    <row r="47" spans="7:11" x14ac:dyDescent="0.25">
      <c r="G47" s="13" t="s">
        <v>268</v>
      </c>
      <c r="H47" s="18" t="s">
        <v>269</v>
      </c>
      <c r="J47" s="18" t="s">
        <v>277</v>
      </c>
      <c r="K47" s="22" t="s">
        <v>105</v>
      </c>
    </row>
    <row r="48" spans="7:11" x14ac:dyDescent="0.25">
      <c r="G48" s="13" t="s">
        <v>253</v>
      </c>
      <c r="H48" s="13" t="s">
        <v>15</v>
      </c>
      <c r="J48" s="18" t="s">
        <v>204</v>
      </c>
      <c r="K48" s="22" t="s">
        <v>105</v>
      </c>
    </row>
    <row r="49" spans="10:11" x14ac:dyDescent="0.25">
      <c r="J49" s="18" t="s">
        <v>274</v>
      </c>
      <c r="K49" s="22" t="s">
        <v>105</v>
      </c>
    </row>
    <row r="50" spans="10:11" x14ac:dyDescent="0.25">
      <c r="J50" s="18" t="s">
        <v>288</v>
      </c>
      <c r="K50" s="22" t="s">
        <v>105</v>
      </c>
    </row>
    <row r="51" spans="10:11" x14ac:dyDescent="0.25">
      <c r="J51" s="18" t="s">
        <v>211</v>
      </c>
      <c r="K51" s="22" t="s">
        <v>104</v>
      </c>
    </row>
    <row r="52" spans="10:11" x14ac:dyDescent="0.25">
      <c r="J52" s="18" t="s">
        <v>120</v>
      </c>
      <c r="K52" s="22" t="s">
        <v>104</v>
      </c>
    </row>
    <row r="53" spans="10:11" x14ac:dyDescent="0.25">
      <c r="J53" s="18" t="s">
        <v>84</v>
      </c>
      <c r="K53" s="22" t="s">
        <v>105</v>
      </c>
    </row>
    <row r="54" spans="10:11" x14ac:dyDescent="0.25">
      <c r="J54" s="18" t="s">
        <v>85</v>
      </c>
      <c r="K54" s="22" t="s">
        <v>105</v>
      </c>
    </row>
    <row r="55" spans="10:11" x14ac:dyDescent="0.25">
      <c r="J55" s="18" t="s">
        <v>35</v>
      </c>
      <c r="K55" s="22" t="s">
        <v>104</v>
      </c>
    </row>
    <row r="56" spans="10:11" x14ac:dyDescent="0.25">
      <c r="J56" s="19" t="s">
        <v>194</v>
      </c>
      <c r="K56" s="22" t="s">
        <v>104</v>
      </c>
    </row>
    <row r="57" spans="10:11" x14ac:dyDescent="0.25">
      <c r="J57" s="18" t="s">
        <v>36</v>
      </c>
      <c r="K57" s="22" t="s">
        <v>104</v>
      </c>
    </row>
    <row r="58" spans="10:11" x14ac:dyDescent="0.25">
      <c r="J58" s="18" t="s">
        <v>86</v>
      </c>
      <c r="K58" s="22" t="s">
        <v>105</v>
      </c>
    </row>
    <row r="59" spans="10:11" x14ac:dyDescent="0.25">
      <c r="J59" s="18" t="s">
        <v>87</v>
      </c>
      <c r="K59" s="22" t="s">
        <v>105</v>
      </c>
    </row>
    <row r="60" spans="10:11" x14ac:dyDescent="0.25">
      <c r="J60" s="18" t="s">
        <v>192</v>
      </c>
      <c r="K60" s="22" t="s">
        <v>105</v>
      </c>
    </row>
    <row r="61" spans="10:11" x14ac:dyDescent="0.25">
      <c r="J61" s="19" t="s">
        <v>185</v>
      </c>
      <c r="K61" s="22" t="s">
        <v>105</v>
      </c>
    </row>
    <row r="62" spans="10:11" x14ac:dyDescent="0.25">
      <c r="J62" s="18" t="s">
        <v>282</v>
      </c>
      <c r="K62" s="22" t="s">
        <v>105</v>
      </c>
    </row>
    <row r="63" spans="10:11" x14ac:dyDescent="0.25">
      <c r="J63" s="18" t="s">
        <v>281</v>
      </c>
      <c r="K63" s="22" t="s">
        <v>105</v>
      </c>
    </row>
    <row r="64" spans="10:11" x14ac:dyDescent="0.25">
      <c r="J64" s="18" t="s">
        <v>283</v>
      </c>
      <c r="K64" s="22" t="s">
        <v>105</v>
      </c>
    </row>
    <row r="65" spans="10:11" x14ac:dyDescent="0.25">
      <c r="J65" s="18" t="s">
        <v>280</v>
      </c>
      <c r="K65" s="22" t="s">
        <v>104</v>
      </c>
    </row>
    <row r="66" spans="10:11" x14ac:dyDescent="0.25">
      <c r="J66" s="18" t="s">
        <v>284</v>
      </c>
      <c r="K66" s="22" t="s">
        <v>104</v>
      </c>
    </row>
    <row r="67" spans="10:11" x14ac:dyDescent="0.25">
      <c r="J67" s="18" t="s">
        <v>159</v>
      </c>
      <c r="K67" s="22" t="s">
        <v>105</v>
      </c>
    </row>
    <row r="68" spans="10:11" x14ac:dyDescent="0.25">
      <c r="J68" s="18" t="s">
        <v>184</v>
      </c>
      <c r="K68" s="22" t="s">
        <v>105</v>
      </c>
    </row>
    <row r="69" spans="10:11" x14ac:dyDescent="0.25">
      <c r="J69" s="19" t="s">
        <v>187</v>
      </c>
      <c r="K69" s="22" t="s">
        <v>105</v>
      </c>
    </row>
    <row r="70" spans="10:11" x14ac:dyDescent="0.25">
      <c r="J70" s="19" t="s">
        <v>186</v>
      </c>
      <c r="K70" s="22" t="s">
        <v>105</v>
      </c>
    </row>
    <row r="71" spans="10:11" x14ac:dyDescent="0.25">
      <c r="J71" s="18" t="s">
        <v>262</v>
      </c>
      <c r="K71" s="22" t="s">
        <v>105</v>
      </c>
    </row>
    <row r="72" spans="10:11" x14ac:dyDescent="0.25">
      <c r="J72" s="19" t="s">
        <v>215</v>
      </c>
      <c r="K72" s="22" t="s">
        <v>105</v>
      </c>
    </row>
    <row r="73" spans="10:11" x14ac:dyDescent="0.25">
      <c r="J73" s="18" t="s">
        <v>162</v>
      </c>
      <c r="K73" s="22" t="s">
        <v>105</v>
      </c>
    </row>
    <row r="74" spans="10:11" x14ac:dyDescent="0.25">
      <c r="J74" s="18" t="s">
        <v>162</v>
      </c>
      <c r="K74" s="22" t="s">
        <v>105</v>
      </c>
    </row>
    <row r="75" spans="10:11" x14ac:dyDescent="0.25">
      <c r="J75" s="18" t="s">
        <v>165</v>
      </c>
      <c r="K75" s="22" t="s">
        <v>105</v>
      </c>
    </row>
    <row r="76" spans="10:11" x14ac:dyDescent="0.25">
      <c r="J76" s="18" t="s">
        <v>166</v>
      </c>
      <c r="K76" s="22" t="s">
        <v>105</v>
      </c>
    </row>
    <row r="77" spans="10:11" x14ac:dyDescent="0.25">
      <c r="J77" s="18" t="s">
        <v>177</v>
      </c>
      <c r="K77" s="22" t="s">
        <v>105</v>
      </c>
    </row>
    <row r="78" spans="10:11" x14ac:dyDescent="0.25">
      <c r="J78" s="18" t="s">
        <v>217</v>
      </c>
      <c r="K78" s="22" t="s">
        <v>105</v>
      </c>
    </row>
    <row r="79" spans="10:11" x14ac:dyDescent="0.25">
      <c r="J79" s="18" t="s">
        <v>263</v>
      </c>
      <c r="K79" s="22" t="s">
        <v>105</v>
      </c>
    </row>
    <row r="80" spans="10:11" x14ac:dyDescent="0.25">
      <c r="J80" s="18" t="s">
        <v>264</v>
      </c>
      <c r="K80" s="22" t="s">
        <v>105</v>
      </c>
    </row>
    <row r="81" spans="10:11" x14ac:dyDescent="0.25">
      <c r="J81" s="18" t="s">
        <v>88</v>
      </c>
      <c r="K81" s="22" t="s">
        <v>105</v>
      </c>
    </row>
    <row r="82" spans="10:11" x14ac:dyDescent="0.25">
      <c r="J82" s="18" t="s">
        <v>163</v>
      </c>
      <c r="K82" s="22" t="s">
        <v>105</v>
      </c>
    </row>
    <row r="83" spans="10:11" x14ac:dyDescent="0.25">
      <c r="J83" s="18" t="s">
        <v>290</v>
      </c>
      <c r="K83" s="22" t="s">
        <v>105</v>
      </c>
    </row>
    <row r="84" spans="10:11" x14ac:dyDescent="0.25">
      <c r="J84" s="19" t="s">
        <v>178</v>
      </c>
      <c r="K84" s="22" t="s">
        <v>105</v>
      </c>
    </row>
    <row r="85" spans="10:11" x14ac:dyDescent="0.25">
      <c r="J85" s="19" t="s">
        <v>183</v>
      </c>
      <c r="K85" s="22" t="s">
        <v>105</v>
      </c>
    </row>
    <row r="86" spans="10:11" x14ac:dyDescent="0.25">
      <c r="J86" s="19" t="s">
        <v>197</v>
      </c>
      <c r="K86" s="22" t="s">
        <v>105</v>
      </c>
    </row>
    <row r="87" spans="10:11" x14ac:dyDescent="0.25">
      <c r="J87" s="18" t="s">
        <v>122</v>
      </c>
      <c r="K87" s="22" t="s">
        <v>104</v>
      </c>
    </row>
    <row r="88" spans="10:11" x14ac:dyDescent="0.25">
      <c r="J88" s="19" t="s">
        <v>154</v>
      </c>
      <c r="K88" s="22" t="s">
        <v>104</v>
      </c>
    </row>
    <row r="89" spans="10:11" x14ac:dyDescent="0.25">
      <c r="J89" s="18" t="s">
        <v>123</v>
      </c>
      <c r="K89" s="22" t="s">
        <v>105</v>
      </c>
    </row>
    <row r="90" spans="10:11" x14ac:dyDescent="0.25">
      <c r="J90" s="18" t="s">
        <v>124</v>
      </c>
      <c r="K90" s="22" t="s">
        <v>105</v>
      </c>
    </row>
    <row r="91" spans="10:11" x14ac:dyDescent="0.25">
      <c r="J91" s="18" t="s">
        <v>125</v>
      </c>
      <c r="K91" s="22" t="s">
        <v>105</v>
      </c>
    </row>
    <row r="92" spans="10:11" x14ac:dyDescent="0.25">
      <c r="J92" s="18" t="s">
        <v>126</v>
      </c>
      <c r="K92" s="22" t="s">
        <v>105</v>
      </c>
    </row>
    <row r="93" spans="10:11" x14ac:dyDescent="0.25">
      <c r="J93" s="18" t="s">
        <v>14</v>
      </c>
      <c r="K93" s="22" t="s">
        <v>105</v>
      </c>
    </row>
    <row r="94" spans="10:11" x14ac:dyDescent="0.25">
      <c r="J94" s="18" t="s">
        <v>13</v>
      </c>
      <c r="K94" s="22" t="s">
        <v>105</v>
      </c>
    </row>
    <row r="95" spans="10:11" x14ac:dyDescent="0.25">
      <c r="J95" s="18" t="s">
        <v>89</v>
      </c>
      <c r="K95" s="22" t="s">
        <v>105</v>
      </c>
    </row>
    <row r="96" spans="10:11" x14ac:dyDescent="0.25">
      <c r="J96" s="18" t="s">
        <v>90</v>
      </c>
      <c r="K96" s="22" t="s">
        <v>105</v>
      </c>
    </row>
    <row r="97" spans="10:11" x14ac:dyDescent="0.25">
      <c r="J97" s="18" t="s">
        <v>91</v>
      </c>
      <c r="K97" s="22" t="s">
        <v>105</v>
      </c>
    </row>
    <row r="98" spans="10:11" x14ac:dyDescent="0.25">
      <c r="J98" s="18" t="s">
        <v>92</v>
      </c>
      <c r="K98" s="22" t="s">
        <v>105</v>
      </c>
    </row>
    <row r="99" spans="10:11" x14ac:dyDescent="0.25">
      <c r="J99" s="18" t="s">
        <v>72</v>
      </c>
      <c r="K99" s="22" t="s">
        <v>105</v>
      </c>
    </row>
    <row r="100" spans="10:11" x14ac:dyDescent="0.25">
      <c r="J100" s="18" t="s">
        <v>93</v>
      </c>
      <c r="K100" s="22" t="s">
        <v>105</v>
      </c>
    </row>
    <row r="101" spans="10:11" x14ac:dyDescent="0.25">
      <c r="J101" s="18" t="s">
        <v>7</v>
      </c>
      <c r="K101" s="22" t="s">
        <v>105</v>
      </c>
    </row>
    <row r="102" spans="10:11" x14ac:dyDescent="0.25">
      <c r="J102" s="18" t="s">
        <v>209</v>
      </c>
      <c r="K102" s="22" t="s">
        <v>105</v>
      </c>
    </row>
    <row r="103" spans="10:11" x14ac:dyDescent="0.25">
      <c r="J103" s="18" t="s">
        <v>174</v>
      </c>
      <c r="K103" s="22" t="s">
        <v>105</v>
      </c>
    </row>
    <row r="104" spans="10:11" x14ac:dyDescent="0.25">
      <c r="J104" s="18" t="s">
        <v>200</v>
      </c>
      <c r="K104" s="22" t="s">
        <v>105</v>
      </c>
    </row>
    <row r="105" spans="10:11" x14ac:dyDescent="0.25">
      <c r="J105" s="18" t="s">
        <v>164</v>
      </c>
      <c r="K105" s="22" t="s">
        <v>105</v>
      </c>
    </row>
    <row r="106" spans="10:11" x14ac:dyDescent="0.25">
      <c r="J106" s="18" t="s">
        <v>176</v>
      </c>
      <c r="K106" s="22" t="s">
        <v>105</v>
      </c>
    </row>
    <row r="107" spans="10:11" x14ac:dyDescent="0.25">
      <c r="J107" s="18" t="s">
        <v>175</v>
      </c>
      <c r="K107" s="22" t="s">
        <v>105</v>
      </c>
    </row>
    <row r="108" spans="10:11" x14ac:dyDescent="0.25">
      <c r="J108" s="18" t="s">
        <v>171</v>
      </c>
      <c r="K108" s="22" t="s">
        <v>105</v>
      </c>
    </row>
    <row r="109" spans="10:11" x14ac:dyDescent="0.25">
      <c r="J109" s="18" t="s">
        <v>172</v>
      </c>
      <c r="K109" s="22" t="s">
        <v>105</v>
      </c>
    </row>
    <row r="110" spans="10:11" x14ac:dyDescent="0.25">
      <c r="J110" s="18" t="s">
        <v>173</v>
      </c>
      <c r="K110" s="22" t="s">
        <v>105</v>
      </c>
    </row>
    <row r="111" spans="10:11" x14ac:dyDescent="0.25">
      <c r="J111" s="18" t="s">
        <v>167</v>
      </c>
      <c r="K111" s="22" t="s">
        <v>105</v>
      </c>
    </row>
    <row r="112" spans="10:11" x14ac:dyDescent="0.25">
      <c r="J112" s="18" t="s">
        <v>168</v>
      </c>
      <c r="K112" s="22" t="s">
        <v>105</v>
      </c>
    </row>
    <row r="113" spans="10:11" x14ac:dyDescent="0.25">
      <c r="J113" s="18" t="s">
        <v>169</v>
      </c>
      <c r="K113" s="22" t="s">
        <v>105</v>
      </c>
    </row>
    <row r="114" spans="10:11" x14ac:dyDescent="0.25">
      <c r="J114" s="18" t="s">
        <v>161</v>
      </c>
      <c r="K114" s="22" t="s">
        <v>105</v>
      </c>
    </row>
    <row r="115" spans="10:11" x14ac:dyDescent="0.25">
      <c r="J115" s="18" t="s">
        <v>198</v>
      </c>
      <c r="K115" s="22" t="s">
        <v>105</v>
      </c>
    </row>
    <row r="116" spans="10:11" x14ac:dyDescent="0.25">
      <c r="J116" s="18" t="s">
        <v>181</v>
      </c>
      <c r="K116" s="22" t="s">
        <v>105</v>
      </c>
    </row>
    <row r="117" spans="10:11" x14ac:dyDescent="0.25">
      <c r="J117" s="18" t="s">
        <v>94</v>
      </c>
      <c r="K117" s="22" t="s">
        <v>105</v>
      </c>
    </row>
    <row r="118" spans="10:11" x14ac:dyDescent="0.25">
      <c r="J118" s="19" t="s">
        <v>182</v>
      </c>
      <c r="K118" s="22" t="s">
        <v>105</v>
      </c>
    </row>
    <row r="119" spans="10:11" x14ac:dyDescent="0.25">
      <c r="J119" s="18" t="s">
        <v>160</v>
      </c>
      <c r="K119" s="22" t="s">
        <v>105</v>
      </c>
    </row>
    <row r="120" spans="10:11" x14ac:dyDescent="0.25">
      <c r="J120" s="18" t="s">
        <v>170</v>
      </c>
      <c r="K120" s="22" t="s">
        <v>105</v>
      </c>
    </row>
    <row r="121" spans="10:11" x14ac:dyDescent="0.25">
      <c r="J121" s="18" t="s">
        <v>95</v>
      </c>
      <c r="K121" s="22" t="s">
        <v>105</v>
      </c>
    </row>
    <row r="122" spans="10:11" x14ac:dyDescent="0.25">
      <c r="J122" s="18" t="s">
        <v>8</v>
      </c>
      <c r="K122" s="22" t="s">
        <v>105</v>
      </c>
    </row>
    <row r="123" spans="10:11" x14ac:dyDescent="0.25">
      <c r="J123" s="18" t="s">
        <v>11</v>
      </c>
      <c r="K123" s="22" t="s">
        <v>105</v>
      </c>
    </row>
    <row r="124" spans="10:11" x14ac:dyDescent="0.25">
      <c r="J124" s="18" t="s">
        <v>96</v>
      </c>
      <c r="K124" s="22" t="s">
        <v>105</v>
      </c>
    </row>
    <row r="125" spans="10:11" x14ac:dyDescent="0.25">
      <c r="J125" s="18" t="s">
        <v>97</v>
      </c>
      <c r="K125" s="22" t="s">
        <v>105</v>
      </c>
    </row>
    <row r="126" spans="10:11" x14ac:dyDescent="0.25">
      <c r="J126" s="18" t="s">
        <v>98</v>
      </c>
      <c r="K126" s="22" t="s">
        <v>105</v>
      </c>
    </row>
    <row r="127" spans="10:11" x14ac:dyDescent="0.25">
      <c r="J127" s="18" t="s">
        <v>99</v>
      </c>
      <c r="K127" s="22" t="s">
        <v>105</v>
      </c>
    </row>
    <row r="128" spans="10:11" x14ac:dyDescent="0.25">
      <c r="J128" s="18" t="s">
        <v>155</v>
      </c>
      <c r="K128" s="22" t="s">
        <v>105</v>
      </c>
    </row>
    <row r="129" spans="10:11" x14ac:dyDescent="0.25">
      <c r="J129" s="18" t="s">
        <v>37</v>
      </c>
      <c r="K129" s="22" t="s">
        <v>104</v>
      </c>
    </row>
    <row r="130" spans="10:11" x14ac:dyDescent="0.25">
      <c r="J130" s="18" t="s">
        <v>100</v>
      </c>
      <c r="K130" s="22" t="s">
        <v>105</v>
      </c>
    </row>
    <row r="131" spans="10:11" x14ac:dyDescent="0.25">
      <c r="J131" s="18" t="s">
        <v>101</v>
      </c>
      <c r="K131" s="22" t="s">
        <v>105</v>
      </c>
    </row>
    <row r="132" spans="10:11" x14ac:dyDescent="0.25">
      <c r="J132" s="18" t="s">
        <v>213</v>
      </c>
      <c r="K132" s="22" t="s">
        <v>105</v>
      </c>
    </row>
    <row r="133" spans="10:11" x14ac:dyDescent="0.25">
      <c r="J133" s="18" t="s">
        <v>127</v>
      </c>
      <c r="K133" s="22" t="s">
        <v>105</v>
      </c>
    </row>
    <row r="134" spans="10:11" x14ac:dyDescent="0.25">
      <c r="J134" s="18" t="s">
        <v>128</v>
      </c>
      <c r="K134" s="22" t="s">
        <v>105</v>
      </c>
    </row>
    <row r="135" spans="10:11" x14ac:dyDescent="0.25">
      <c r="J135" s="18" t="s">
        <v>129</v>
      </c>
      <c r="K135" s="22" t="s">
        <v>105</v>
      </c>
    </row>
    <row r="136" spans="10:11" x14ac:dyDescent="0.25">
      <c r="J136" s="19" t="s">
        <v>207</v>
      </c>
      <c r="K136" s="22" t="s">
        <v>105</v>
      </c>
    </row>
    <row r="137" spans="10:11" x14ac:dyDescent="0.25">
      <c r="J137" s="18" t="s">
        <v>214</v>
      </c>
      <c r="K137" s="22" t="s">
        <v>104</v>
      </c>
    </row>
    <row r="138" spans="10:11" x14ac:dyDescent="0.25">
      <c r="J138" s="18" t="s">
        <v>286</v>
      </c>
      <c r="K138" s="22" t="s">
        <v>104</v>
      </c>
    </row>
    <row r="139" spans="10:11" x14ac:dyDescent="0.25">
      <c r="J139" s="18" t="s">
        <v>285</v>
      </c>
      <c r="K139" s="22" t="s">
        <v>104</v>
      </c>
    </row>
    <row r="140" spans="10:11" x14ac:dyDescent="0.25">
      <c r="J140" s="18" t="s">
        <v>287</v>
      </c>
      <c r="K140" s="22" t="s">
        <v>104</v>
      </c>
    </row>
    <row r="141" spans="10:11" x14ac:dyDescent="0.25">
      <c r="J141" s="18" t="s">
        <v>38</v>
      </c>
      <c r="K141" s="22" t="s">
        <v>104</v>
      </c>
    </row>
    <row r="142" spans="10:11" x14ac:dyDescent="0.25">
      <c r="J142" s="19" t="s">
        <v>203</v>
      </c>
      <c r="K142" s="22" t="s">
        <v>105</v>
      </c>
    </row>
    <row r="143" spans="10:11" x14ac:dyDescent="0.25">
      <c r="J143" s="18" t="s">
        <v>130</v>
      </c>
      <c r="K143" s="22" t="s">
        <v>105</v>
      </c>
    </row>
    <row r="144" spans="10:11" x14ac:dyDescent="0.25">
      <c r="J144" s="18" t="s">
        <v>150</v>
      </c>
      <c r="K144" s="22" t="s">
        <v>105</v>
      </c>
    </row>
    <row r="145" spans="10:11" x14ac:dyDescent="0.25">
      <c r="J145" s="18" t="s">
        <v>199</v>
      </c>
      <c r="K145" s="22" t="s">
        <v>105</v>
      </c>
    </row>
    <row r="146" spans="10:11" x14ac:dyDescent="0.25">
      <c r="J146" s="18" t="s">
        <v>131</v>
      </c>
      <c r="K146" s="22" t="s">
        <v>105</v>
      </c>
    </row>
    <row r="147" spans="10:11" x14ac:dyDescent="0.25">
      <c r="J147" s="18" t="s">
        <v>191</v>
      </c>
      <c r="K147" s="22" t="s">
        <v>105</v>
      </c>
    </row>
    <row r="148" spans="10:11" x14ac:dyDescent="0.25">
      <c r="J148" s="19" t="s">
        <v>202</v>
      </c>
      <c r="K148" s="22" t="s">
        <v>104</v>
      </c>
    </row>
    <row r="149" spans="10:11" x14ac:dyDescent="0.25">
      <c r="J149" s="18" t="s">
        <v>201</v>
      </c>
      <c r="K149" s="22" t="s">
        <v>105</v>
      </c>
    </row>
    <row r="150" spans="10:11" x14ac:dyDescent="0.25">
      <c r="J150" s="18" t="s">
        <v>102</v>
      </c>
      <c r="K150" s="22" t="s">
        <v>105</v>
      </c>
    </row>
    <row r="151" spans="10:11" x14ac:dyDescent="0.25">
      <c r="J151" s="18" t="s">
        <v>206</v>
      </c>
      <c r="K151" s="22" t="s">
        <v>105</v>
      </c>
    </row>
    <row r="152" spans="10:11" x14ac:dyDescent="0.25">
      <c r="J152" s="18" t="s">
        <v>132</v>
      </c>
      <c r="K152" s="22" t="s">
        <v>105</v>
      </c>
    </row>
    <row r="153" spans="10:11" x14ac:dyDescent="0.25">
      <c r="J153" s="18" t="s">
        <v>133</v>
      </c>
      <c r="K153" s="22" t="s">
        <v>105</v>
      </c>
    </row>
    <row r="154" spans="10:11" x14ac:dyDescent="0.25">
      <c r="J154" s="18" t="s">
        <v>134</v>
      </c>
      <c r="K154" s="22" t="s">
        <v>105</v>
      </c>
    </row>
    <row r="155" spans="10:11" x14ac:dyDescent="0.25">
      <c r="J155" s="18" t="s">
        <v>135</v>
      </c>
      <c r="K155" s="22" t="s">
        <v>105</v>
      </c>
    </row>
    <row r="156" spans="10:11" x14ac:dyDescent="0.25">
      <c r="J156" s="18" t="s">
        <v>136</v>
      </c>
      <c r="K156" s="22" t="s">
        <v>105</v>
      </c>
    </row>
    <row r="157" spans="10:11" x14ac:dyDescent="0.25">
      <c r="J157" s="18" t="s">
        <v>137</v>
      </c>
      <c r="K157" s="22" t="s">
        <v>105</v>
      </c>
    </row>
    <row r="158" spans="10:11" x14ac:dyDescent="0.25">
      <c r="J158" s="18" t="s">
        <v>138</v>
      </c>
      <c r="K158" s="22" t="s">
        <v>104</v>
      </c>
    </row>
    <row r="159" spans="10:11" x14ac:dyDescent="0.25">
      <c r="J159" s="18" t="s">
        <v>158</v>
      </c>
      <c r="K159" s="22" t="s">
        <v>104</v>
      </c>
    </row>
    <row r="160" spans="10:11" x14ac:dyDescent="0.25">
      <c r="J160" s="18" t="s">
        <v>157</v>
      </c>
      <c r="K160" s="22" t="s">
        <v>104</v>
      </c>
    </row>
    <row r="161" spans="10:11" x14ac:dyDescent="0.25">
      <c r="J161" s="18" t="s">
        <v>139</v>
      </c>
      <c r="K161" s="22" t="s">
        <v>104</v>
      </c>
    </row>
    <row r="162" spans="10:11" x14ac:dyDescent="0.25">
      <c r="J162" s="18" t="s">
        <v>156</v>
      </c>
      <c r="K162" s="22" t="s">
        <v>104</v>
      </c>
    </row>
    <row r="163" spans="10:11" x14ac:dyDescent="0.25">
      <c r="J163" s="18" t="s">
        <v>140</v>
      </c>
      <c r="K163" s="22" t="s">
        <v>105</v>
      </c>
    </row>
    <row r="164" spans="10:11" x14ac:dyDescent="0.25">
      <c r="J164" s="18" t="s">
        <v>205</v>
      </c>
      <c r="K164" s="22" t="s">
        <v>105</v>
      </c>
    </row>
    <row r="165" spans="10:11" x14ac:dyDescent="0.25">
      <c r="J165" s="18" t="s">
        <v>141</v>
      </c>
      <c r="K165" s="22" t="s">
        <v>105</v>
      </c>
    </row>
    <row r="166" spans="10:11" x14ac:dyDescent="0.25">
      <c r="J166" s="18" t="s">
        <v>142</v>
      </c>
      <c r="K166" s="22" t="s">
        <v>104</v>
      </c>
    </row>
    <row r="167" spans="10:11" x14ac:dyDescent="0.25">
      <c r="J167" s="18" t="s">
        <v>143</v>
      </c>
      <c r="K167" s="22" t="s">
        <v>104</v>
      </c>
    </row>
    <row r="168" spans="10:11" x14ac:dyDescent="0.25">
      <c r="J168" s="18" t="s">
        <v>144</v>
      </c>
      <c r="K168" s="22" t="s">
        <v>104</v>
      </c>
    </row>
    <row r="169" spans="10:11" x14ac:dyDescent="0.25">
      <c r="J169" s="18" t="s">
        <v>145</v>
      </c>
      <c r="K169" s="22" t="s">
        <v>105</v>
      </c>
    </row>
  </sheetData>
  <sortState xmlns:xlrd2="http://schemas.microsoft.com/office/spreadsheetml/2017/richdata2" ref="J2:K169">
    <sortCondition ref="J2"/>
  </sortState>
  <conditionalFormatting sqref="K1:K1048576">
    <cfRule type="expression" dxfId="2" priority="1">
      <formula>$K1="No"</formula>
    </cfRule>
    <cfRule type="expression" dxfId="1" priority="2">
      <formula>$K1="Yes"</formula>
    </cfRule>
  </conditionalFormatting>
  <dataValidations count="1">
    <dataValidation type="list" showErrorMessage="1" sqref="B2" xr:uid="{0C460606-0923-4A08-8B49-3104912C2749}">
      <formula1>"BOT,TOP"</formula1>
    </dataValidation>
  </dataValidations>
  <hyperlinks>
    <hyperlink ref="B11" r:id="rId1" xr:uid="{491F298A-72E5-4C24-8272-FDA6CF1841DE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heet0.SortBlocks_Click">
                <anchor moveWithCells="1" sizeWithCells="1">
                  <from>
                    <xdr:col>3</xdr:col>
                    <xdr:colOff>514350</xdr:colOff>
                    <xdr:row>3</xdr:row>
                    <xdr:rowOff>19050</xdr:rowOff>
                  </from>
                  <to>
                    <xdr:col>5</xdr:col>
                    <xdr:colOff>371475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2309"/>
  <sheetViews>
    <sheetView zoomScaleNormal="100" workbookViewId="0">
      <pane ySplit="1" topLeftCell="A2" activePane="bottomLeft" state="frozen"/>
      <selection activeCell="B1" sqref="B1"/>
      <selection pane="bottomLeft" activeCell="J22" sqref="J22"/>
    </sheetView>
  </sheetViews>
  <sheetFormatPr defaultRowHeight="15" x14ac:dyDescent="0.25"/>
  <cols>
    <col min="1" max="1" width="11.140625" style="12" customWidth="1"/>
    <col min="2" max="2" width="24.85546875" style="30" bestFit="1" customWidth="1"/>
    <col min="3" max="5" width="11" style="33" customWidth="1"/>
    <col min="6" max="6" width="15.28515625" style="29" customWidth="1"/>
    <col min="7" max="7" width="12.5703125" style="29" customWidth="1"/>
    <col min="8" max="8" width="4" style="12" customWidth="1"/>
    <col min="9" max="10" width="9.140625" style="12" customWidth="1"/>
    <col min="11" max="17" width="9.140625" style="25" customWidth="1"/>
    <col min="18" max="25" width="9" style="25"/>
    <col min="26" max="26" width="47.28515625" style="25" customWidth="1"/>
    <col min="27" max="27" width="9.28515625" style="25" bestFit="1" customWidth="1"/>
    <col min="28" max="28" width="10.85546875" style="25" bestFit="1" customWidth="1"/>
    <col min="29" max="44" width="9" style="25"/>
    <col min="45" max="45" width="9" style="26" bestFit="1" customWidth="1"/>
    <col min="46" max="46" width="10.85546875" style="25" bestFit="1" customWidth="1"/>
    <col min="47" max="47" width="3.42578125" style="25" customWidth="1"/>
    <col min="48" max="48" width="35.42578125" style="25" bestFit="1" customWidth="1"/>
    <col min="49" max="49" width="12.5703125" style="25" bestFit="1" customWidth="1"/>
    <col min="50" max="50" width="3.42578125" style="25" customWidth="1"/>
    <col min="51" max="51" width="15.140625" style="25" bestFit="1" customWidth="1"/>
    <col min="52" max="52" width="3.140625" style="25" customWidth="1"/>
    <col min="53" max="53" width="8.5703125" style="25" bestFit="1" customWidth="1"/>
    <col min="54" max="54" width="5.85546875" style="25" bestFit="1" customWidth="1"/>
    <col min="55" max="55" width="8.7109375" style="25" bestFit="1" customWidth="1"/>
    <col min="56" max="56" width="8.5703125" style="25" bestFit="1" customWidth="1"/>
    <col min="57" max="57" width="7.7109375" style="25" bestFit="1" customWidth="1"/>
    <col min="58" max="58" width="11.140625" style="27" bestFit="1" customWidth="1"/>
    <col min="59" max="59" width="11" style="27" bestFit="1" customWidth="1"/>
    <col min="60" max="60" width="3.5703125" style="27" customWidth="1"/>
    <col min="61" max="16384" width="9.140625" style="27"/>
  </cols>
  <sheetData>
    <row r="1" spans="1:62" s="59" customFormat="1" ht="60.75" customHeight="1" x14ac:dyDescent="0.25">
      <c r="A1" s="53" t="s">
        <v>3</v>
      </c>
      <c r="B1" s="53" t="s">
        <v>15</v>
      </c>
      <c r="C1" s="53" t="s">
        <v>0</v>
      </c>
      <c r="D1" s="53" t="s">
        <v>1</v>
      </c>
      <c r="E1" s="53" t="s">
        <v>2</v>
      </c>
      <c r="F1" s="54" t="s">
        <v>47</v>
      </c>
      <c r="G1" s="54" t="s">
        <v>48</v>
      </c>
      <c r="H1" s="53"/>
      <c r="I1" s="53" t="s">
        <v>4</v>
      </c>
      <c r="J1" s="53" t="s">
        <v>5</v>
      </c>
      <c r="K1" s="55"/>
      <c r="L1" s="55"/>
      <c r="M1" s="55"/>
      <c r="N1" s="55"/>
      <c r="O1" s="55"/>
      <c r="P1" s="56"/>
      <c r="Q1" s="55"/>
      <c r="R1" s="55"/>
      <c r="S1" s="55"/>
      <c r="T1" s="55"/>
      <c r="U1" s="55"/>
      <c r="V1" s="55"/>
      <c r="W1" s="55"/>
      <c r="X1" s="55"/>
      <c r="Y1" s="55"/>
      <c r="Z1" s="55"/>
      <c r="AA1" s="57" t="s">
        <v>49</v>
      </c>
      <c r="AB1" s="57" t="s">
        <v>50</v>
      </c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8"/>
      <c r="AT1" s="55"/>
      <c r="AU1" s="55"/>
      <c r="AV1" s="55"/>
      <c r="AW1" s="55"/>
      <c r="AX1" s="55"/>
      <c r="AY1" s="57"/>
      <c r="AZ1" s="55"/>
      <c r="BA1" s="57" t="s">
        <v>3</v>
      </c>
      <c r="BB1" s="57" t="s">
        <v>15</v>
      </c>
      <c r="BC1" s="57" t="s">
        <v>0</v>
      </c>
      <c r="BD1" s="57" t="s">
        <v>1</v>
      </c>
      <c r="BE1" s="57" t="s">
        <v>2</v>
      </c>
      <c r="BF1" s="57" t="s">
        <v>47</v>
      </c>
      <c r="BG1" s="57" t="s">
        <v>48</v>
      </c>
      <c r="BI1" s="57" t="s">
        <v>4</v>
      </c>
      <c r="BJ1" s="57" t="s">
        <v>5</v>
      </c>
    </row>
    <row r="2" spans="1:62" x14ac:dyDescent="0.25">
      <c r="A2"/>
      <c r="B2"/>
      <c r="C2"/>
      <c r="D2"/>
      <c r="E2"/>
      <c r="BA2" t="s">
        <v>436</v>
      </c>
      <c r="BB2" t="s">
        <v>407</v>
      </c>
      <c r="BC2">
        <v>93.424999999999997</v>
      </c>
      <c r="BD2">
        <v>15.5242</v>
      </c>
      <c r="BE2">
        <v>0</v>
      </c>
      <c r="BF2" s="29"/>
      <c r="BG2" s="29"/>
      <c r="BH2" s="12"/>
      <c r="BI2" s="12">
        <v>103.42489999999999</v>
      </c>
      <c r="BJ2" s="12">
        <v>15.5242</v>
      </c>
    </row>
    <row r="3" spans="1:62" x14ac:dyDescent="0.25">
      <c r="A3"/>
      <c r="B3"/>
      <c r="C3"/>
      <c r="D3"/>
      <c r="E3"/>
      <c r="BA3" t="s">
        <v>428</v>
      </c>
      <c r="BB3" t="s">
        <v>457</v>
      </c>
      <c r="BC3">
        <v>97.025499999999994</v>
      </c>
      <c r="BD3">
        <v>15.5242</v>
      </c>
      <c r="BE3">
        <v>0</v>
      </c>
      <c r="BF3" s="29"/>
      <c r="BG3" s="29"/>
      <c r="BH3" s="12"/>
      <c r="BI3" s="12"/>
      <c r="BJ3" s="12"/>
    </row>
    <row r="4" spans="1:62" x14ac:dyDescent="0.25">
      <c r="A4"/>
      <c r="B4"/>
      <c r="C4"/>
      <c r="D4"/>
      <c r="E4"/>
      <c r="BA4" t="s">
        <v>429</v>
      </c>
      <c r="BB4" t="s">
        <v>458</v>
      </c>
      <c r="BC4">
        <v>133.65100000000001</v>
      </c>
      <c r="BD4">
        <v>22.8978</v>
      </c>
      <c r="BE4">
        <v>0</v>
      </c>
      <c r="BF4" s="29"/>
      <c r="BG4" s="29"/>
      <c r="BH4" s="12"/>
      <c r="BI4" s="12"/>
      <c r="BJ4" s="12"/>
    </row>
    <row r="5" spans="1:62" x14ac:dyDescent="0.25">
      <c r="A5"/>
      <c r="B5"/>
      <c r="C5"/>
      <c r="D5"/>
      <c r="E5"/>
      <c r="BA5" t="s">
        <v>430</v>
      </c>
      <c r="BB5" t="s">
        <v>459</v>
      </c>
      <c r="BC5">
        <v>81.724500000000006</v>
      </c>
      <c r="BD5">
        <v>19.224900000000002</v>
      </c>
      <c r="BE5">
        <v>0</v>
      </c>
      <c r="BF5" s="29"/>
      <c r="BG5" s="29"/>
      <c r="BH5" s="12"/>
      <c r="BI5" s="12"/>
      <c r="BJ5" s="12"/>
    </row>
    <row r="6" spans="1:62" x14ac:dyDescent="0.25">
      <c r="A6"/>
      <c r="B6"/>
      <c r="C6"/>
      <c r="D6"/>
      <c r="E6"/>
      <c r="BA6" t="s">
        <v>439</v>
      </c>
      <c r="BB6" t="s">
        <v>460</v>
      </c>
      <c r="BC6">
        <v>133.4503</v>
      </c>
      <c r="BD6">
        <v>12.648899999999999</v>
      </c>
      <c r="BE6">
        <v>0</v>
      </c>
      <c r="BF6" s="29"/>
      <c r="BG6" s="29"/>
      <c r="BH6" s="12"/>
      <c r="BI6" s="12"/>
      <c r="BJ6" s="12"/>
    </row>
    <row r="7" spans="1:62" x14ac:dyDescent="0.25">
      <c r="A7"/>
      <c r="B7"/>
      <c r="C7"/>
      <c r="D7"/>
      <c r="E7"/>
      <c r="BA7" t="s">
        <v>437</v>
      </c>
      <c r="BB7" t="s">
        <v>461</v>
      </c>
      <c r="BC7">
        <v>144.05099999999999</v>
      </c>
      <c r="BD7">
        <v>14.5488</v>
      </c>
      <c r="BE7">
        <v>0</v>
      </c>
      <c r="BF7" s="29"/>
      <c r="BG7" s="29"/>
      <c r="BH7" s="12"/>
      <c r="BI7" s="12"/>
      <c r="BJ7" s="12"/>
    </row>
    <row r="8" spans="1:62" x14ac:dyDescent="0.25">
      <c r="A8"/>
      <c r="B8"/>
      <c r="C8"/>
      <c r="D8"/>
      <c r="E8"/>
      <c r="BA8" t="s">
        <v>367</v>
      </c>
      <c r="BB8" t="s">
        <v>462</v>
      </c>
      <c r="BC8">
        <v>95.724999999999994</v>
      </c>
      <c r="BD8">
        <v>37.624699999999997</v>
      </c>
      <c r="BE8">
        <v>0</v>
      </c>
      <c r="BF8" s="29"/>
      <c r="BG8" s="29"/>
      <c r="BH8" s="12"/>
      <c r="BI8" s="12"/>
      <c r="BJ8" s="12"/>
    </row>
    <row r="9" spans="1:62" x14ac:dyDescent="0.25">
      <c r="A9"/>
      <c r="B9"/>
      <c r="C9"/>
      <c r="D9"/>
      <c r="E9"/>
      <c r="F9" s="16"/>
      <c r="G9" s="16"/>
      <c r="BA9" t="s">
        <v>438</v>
      </c>
      <c r="BB9" t="s">
        <v>458</v>
      </c>
      <c r="BC9">
        <v>52.675800000000002</v>
      </c>
      <c r="BD9">
        <v>22.399899999999999</v>
      </c>
      <c r="BE9">
        <v>0</v>
      </c>
      <c r="BF9" s="16"/>
      <c r="BG9" s="16"/>
      <c r="BH9" s="12"/>
      <c r="BI9" s="12"/>
      <c r="BJ9" s="12"/>
    </row>
    <row r="10" spans="1:62" x14ac:dyDescent="0.25">
      <c r="A10"/>
      <c r="B10"/>
      <c r="C10"/>
      <c r="D10"/>
      <c r="E10"/>
      <c r="F10" s="16"/>
      <c r="G10" s="16"/>
      <c r="BA10" t="s">
        <v>463</v>
      </c>
      <c r="BB10" t="s">
        <v>460</v>
      </c>
      <c r="BC10">
        <v>49.825899999999997</v>
      </c>
      <c r="BD10">
        <v>11.5237</v>
      </c>
      <c r="BE10">
        <v>0</v>
      </c>
      <c r="BF10" s="16"/>
      <c r="BG10" s="16"/>
      <c r="BH10" s="12"/>
      <c r="BI10" s="12"/>
      <c r="BJ10" s="12"/>
    </row>
    <row r="11" spans="1:62" x14ac:dyDescent="0.25">
      <c r="A11"/>
      <c r="B11"/>
      <c r="C11"/>
      <c r="D11"/>
      <c r="E11"/>
      <c r="F11" s="16"/>
      <c r="G11" s="16"/>
      <c r="P11" s="28"/>
      <c r="Q11" s="28"/>
      <c r="R11" s="28"/>
      <c r="BA11" t="s">
        <v>308</v>
      </c>
      <c r="BB11" t="s">
        <v>461</v>
      </c>
      <c r="BC11">
        <v>60.325000000000003</v>
      </c>
      <c r="BD11">
        <v>12.9232</v>
      </c>
      <c r="BE11">
        <v>0</v>
      </c>
      <c r="BF11" s="16"/>
      <c r="BG11" s="16"/>
      <c r="BH11" s="12"/>
      <c r="BI11" s="12"/>
      <c r="BJ11" s="12"/>
    </row>
    <row r="12" spans="1:62" x14ac:dyDescent="0.25">
      <c r="A12"/>
      <c r="B12"/>
      <c r="C12"/>
      <c r="D12"/>
      <c r="E12"/>
      <c r="BA12" t="s">
        <v>464</v>
      </c>
      <c r="BB12" t="s">
        <v>465</v>
      </c>
      <c r="BC12">
        <v>137.54990000000001</v>
      </c>
      <c r="BD12">
        <v>17.899100000000001</v>
      </c>
      <c r="BE12">
        <v>0</v>
      </c>
      <c r="BF12" s="29"/>
      <c r="BG12" s="29"/>
      <c r="BH12" s="12"/>
      <c r="BI12" s="12"/>
      <c r="BJ12" s="12"/>
    </row>
    <row r="13" spans="1:62" x14ac:dyDescent="0.25">
      <c r="A13"/>
      <c r="B13"/>
      <c r="C13"/>
      <c r="D13"/>
      <c r="E13"/>
      <c r="BA13" t="s">
        <v>466</v>
      </c>
      <c r="BB13" t="s">
        <v>467</v>
      </c>
      <c r="BC13">
        <v>95.225899999999996</v>
      </c>
      <c r="BD13">
        <v>21.0245</v>
      </c>
      <c r="BE13">
        <v>0</v>
      </c>
      <c r="BF13" s="29"/>
      <c r="BG13" s="29"/>
      <c r="BH13" s="12"/>
      <c r="BI13" s="12"/>
      <c r="BJ13" s="12"/>
    </row>
    <row r="14" spans="1:62" x14ac:dyDescent="0.25">
      <c r="A14"/>
      <c r="B14"/>
      <c r="C14"/>
      <c r="D14"/>
      <c r="E14"/>
      <c r="BA14" t="s">
        <v>468</v>
      </c>
      <c r="BB14" t="s">
        <v>465</v>
      </c>
      <c r="BC14">
        <v>53.450499999999998</v>
      </c>
      <c r="BD14">
        <v>16.673500000000001</v>
      </c>
      <c r="BE14">
        <v>0</v>
      </c>
      <c r="BF14" s="29"/>
      <c r="BG14" s="29"/>
      <c r="BH14" s="12"/>
      <c r="BI14" s="12"/>
      <c r="BJ14" s="12"/>
    </row>
    <row r="15" spans="1:62" x14ac:dyDescent="0.25">
      <c r="A15"/>
      <c r="B15"/>
      <c r="C15"/>
      <c r="D15"/>
      <c r="E15"/>
      <c r="F15" s="16"/>
      <c r="G15" s="16"/>
      <c r="BA15" t="s">
        <v>469</v>
      </c>
      <c r="BB15" t="s">
        <v>470</v>
      </c>
      <c r="BC15">
        <v>84.124799999999993</v>
      </c>
      <c r="BD15">
        <v>15.924200000000001</v>
      </c>
      <c r="BE15">
        <v>0</v>
      </c>
      <c r="BF15" s="16"/>
      <c r="BG15" s="16"/>
      <c r="BH15" s="12"/>
      <c r="BI15" s="12"/>
      <c r="BJ15" s="12"/>
    </row>
    <row r="16" spans="1:62" x14ac:dyDescent="0.25">
      <c r="A16"/>
      <c r="B16"/>
      <c r="C16"/>
      <c r="D16"/>
      <c r="E16"/>
      <c r="F16" s="16"/>
      <c r="G16" s="16"/>
      <c r="BA16" t="s">
        <v>431</v>
      </c>
      <c r="BB16" t="s">
        <v>471</v>
      </c>
      <c r="BC16">
        <v>93.025000000000006</v>
      </c>
      <c r="BD16">
        <v>31.1236</v>
      </c>
      <c r="BE16">
        <v>0</v>
      </c>
      <c r="BF16" s="16"/>
      <c r="BG16" s="16"/>
      <c r="BH16" s="12"/>
      <c r="BI16" s="12"/>
      <c r="BJ16" s="12"/>
    </row>
    <row r="17" spans="1:62" x14ac:dyDescent="0.25">
      <c r="A17"/>
      <c r="B17"/>
      <c r="C17"/>
      <c r="D17"/>
      <c r="E17"/>
      <c r="BA17" t="s">
        <v>472</v>
      </c>
      <c r="BB17" t="s">
        <v>473</v>
      </c>
      <c r="BC17">
        <v>123.05029999999999</v>
      </c>
      <c r="BD17">
        <v>17.9499</v>
      </c>
      <c r="BE17">
        <v>0</v>
      </c>
      <c r="BF17" s="29"/>
      <c r="BG17" s="29"/>
      <c r="BH17" s="12"/>
      <c r="BI17" s="12"/>
      <c r="BJ17" s="12"/>
    </row>
    <row r="18" spans="1:62" x14ac:dyDescent="0.25">
      <c r="A18"/>
      <c r="B18"/>
      <c r="C18"/>
      <c r="D18"/>
      <c r="E18"/>
      <c r="BA18" t="s">
        <v>474</v>
      </c>
      <c r="BB18" t="s">
        <v>473</v>
      </c>
      <c r="BC18">
        <v>39.276000000000003</v>
      </c>
      <c r="BD18">
        <v>18.449000000000002</v>
      </c>
      <c r="BE18">
        <v>0</v>
      </c>
      <c r="BF18" s="29"/>
      <c r="BG18" s="29"/>
      <c r="BH18" s="12"/>
      <c r="BI18" s="12"/>
      <c r="BJ18" s="12"/>
    </row>
    <row r="19" spans="1:62" x14ac:dyDescent="0.25">
      <c r="A19"/>
      <c r="B19"/>
      <c r="C19"/>
      <c r="D19"/>
      <c r="E19"/>
      <c r="F19" s="16"/>
      <c r="G19" s="16"/>
      <c r="P19" s="28"/>
      <c r="Q19" s="28"/>
      <c r="R19" s="28"/>
      <c r="BA19" t="s">
        <v>440</v>
      </c>
      <c r="BB19" t="s">
        <v>475</v>
      </c>
      <c r="BC19">
        <v>146.02459999999999</v>
      </c>
      <c r="BD19">
        <v>16.949100000000001</v>
      </c>
      <c r="BE19">
        <v>0</v>
      </c>
      <c r="BF19" s="16"/>
      <c r="BG19" s="16"/>
      <c r="BH19" s="12"/>
      <c r="BI19" s="12"/>
      <c r="BJ19" s="12"/>
    </row>
    <row r="20" spans="1:62" x14ac:dyDescent="0.25">
      <c r="A20"/>
      <c r="B20"/>
      <c r="C20"/>
      <c r="D20"/>
      <c r="E20"/>
      <c r="BA20" t="s">
        <v>432</v>
      </c>
      <c r="BB20" t="s">
        <v>476</v>
      </c>
      <c r="BC20">
        <v>91.9251</v>
      </c>
      <c r="BD20">
        <v>35.023699999999998</v>
      </c>
      <c r="BE20">
        <v>0</v>
      </c>
      <c r="BF20" s="29"/>
      <c r="BG20" s="29"/>
      <c r="BH20" s="12"/>
      <c r="BI20" s="12"/>
      <c r="BJ20" s="12"/>
    </row>
    <row r="21" spans="1:62" x14ac:dyDescent="0.25">
      <c r="A21"/>
      <c r="B21"/>
      <c r="C21"/>
      <c r="D21"/>
      <c r="E21"/>
      <c r="BA21" t="s">
        <v>434</v>
      </c>
      <c r="BB21" t="s">
        <v>442</v>
      </c>
      <c r="BC21">
        <v>146.02459999999999</v>
      </c>
      <c r="BD21">
        <v>19.349399999999999</v>
      </c>
      <c r="BE21">
        <v>0</v>
      </c>
      <c r="BF21" s="29"/>
      <c r="BG21" s="29"/>
      <c r="BH21" s="12"/>
      <c r="BI21" s="12"/>
      <c r="BJ21" s="12"/>
    </row>
    <row r="22" spans="1:62" x14ac:dyDescent="0.25">
      <c r="A22"/>
      <c r="B22"/>
      <c r="C22"/>
      <c r="D22"/>
      <c r="E22"/>
      <c r="BA22" t="s">
        <v>435</v>
      </c>
      <c r="BB22" t="s">
        <v>442</v>
      </c>
      <c r="BC22">
        <v>62.5246</v>
      </c>
      <c r="BD22">
        <v>17.723800000000001</v>
      </c>
      <c r="BE22">
        <v>0</v>
      </c>
      <c r="BF22" s="29"/>
      <c r="BG22" s="29"/>
      <c r="BH22" s="12"/>
      <c r="BI22" s="12"/>
      <c r="BJ22" s="12"/>
    </row>
    <row r="23" spans="1:62" x14ac:dyDescent="0.25">
      <c r="A23"/>
      <c r="B23"/>
      <c r="C23"/>
      <c r="D23"/>
      <c r="E23"/>
      <c r="F23" s="16"/>
      <c r="G23" s="16"/>
      <c r="BA23" t="s">
        <v>451</v>
      </c>
      <c r="BB23" t="s">
        <v>477</v>
      </c>
      <c r="BC23">
        <v>144.0498</v>
      </c>
      <c r="BD23">
        <v>21.249300000000002</v>
      </c>
      <c r="BE23">
        <v>0</v>
      </c>
      <c r="BF23" s="16"/>
      <c r="BG23" s="16"/>
      <c r="BH23" s="12"/>
      <c r="BI23" s="12"/>
      <c r="BJ23" s="12"/>
    </row>
    <row r="24" spans="1:62" x14ac:dyDescent="0.25">
      <c r="A24"/>
      <c r="B24"/>
      <c r="C24"/>
      <c r="D24"/>
      <c r="E24"/>
      <c r="BA24" t="s">
        <v>441</v>
      </c>
      <c r="BB24" t="s">
        <v>475</v>
      </c>
      <c r="BC24">
        <v>89.225099999999998</v>
      </c>
      <c r="BD24">
        <v>29.824400000000001</v>
      </c>
      <c r="BE24">
        <v>0</v>
      </c>
      <c r="BF24" s="29"/>
      <c r="BG24" s="29"/>
      <c r="BH24" s="12"/>
      <c r="BI24" s="12"/>
      <c r="BJ24" s="12"/>
    </row>
    <row r="25" spans="1:62" x14ac:dyDescent="0.25">
      <c r="A25"/>
      <c r="B25"/>
      <c r="C25"/>
      <c r="D25"/>
      <c r="E25"/>
      <c r="BA25" t="s">
        <v>443</v>
      </c>
      <c r="BB25" t="s">
        <v>478</v>
      </c>
      <c r="BC25">
        <v>129.64920000000001</v>
      </c>
      <c r="BD25">
        <v>12.3492</v>
      </c>
      <c r="BE25">
        <v>0</v>
      </c>
      <c r="BF25" s="29"/>
      <c r="BG25" s="29"/>
      <c r="BH25" s="12"/>
      <c r="BI25" s="12"/>
      <c r="BJ25" s="12"/>
    </row>
    <row r="26" spans="1:62" x14ac:dyDescent="0.25">
      <c r="A26"/>
      <c r="B26"/>
      <c r="C26"/>
      <c r="D26"/>
      <c r="E26"/>
      <c r="BA26" t="s">
        <v>444</v>
      </c>
      <c r="BB26" t="s">
        <v>476</v>
      </c>
      <c r="BC26">
        <v>86.624200000000002</v>
      </c>
      <c r="BD26">
        <v>16.623999999999999</v>
      </c>
      <c r="BE26">
        <v>0</v>
      </c>
      <c r="BF26" s="29"/>
      <c r="BG26" s="29"/>
      <c r="BH26" s="12"/>
      <c r="BI26" s="12"/>
      <c r="BJ26" s="12"/>
    </row>
    <row r="27" spans="1:62" x14ac:dyDescent="0.25">
      <c r="A27"/>
      <c r="B27"/>
      <c r="C27"/>
      <c r="D27"/>
      <c r="E27"/>
      <c r="F27" s="16"/>
      <c r="G27" s="16"/>
      <c r="BA27" t="s">
        <v>306</v>
      </c>
      <c r="BB27" t="s">
        <v>479</v>
      </c>
      <c r="BC27">
        <v>143.6497</v>
      </c>
      <c r="BD27">
        <v>16.9986</v>
      </c>
      <c r="BE27">
        <v>0</v>
      </c>
      <c r="BF27" s="16"/>
      <c r="BG27" s="16"/>
      <c r="BH27" s="12"/>
      <c r="BI27" s="12"/>
      <c r="BJ27" s="12"/>
    </row>
    <row r="28" spans="1:62" x14ac:dyDescent="0.25">
      <c r="A28"/>
      <c r="B28"/>
      <c r="C28"/>
      <c r="D28"/>
      <c r="E28"/>
      <c r="BA28" t="s">
        <v>389</v>
      </c>
      <c r="BB28" t="s">
        <v>480</v>
      </c>
      <c r="BC28">
        <v>143.1506</v>
      </c>
      <c r="BD28">
        <v>12.849500000000001</v>
      </c>
      <c r="BE28">
        <v>0</v>
      </c>
      <c r="BF28" s="29"/>
      <c r="BG28" s="29"/>
      <c r="BH28" s="12"/>
      <c r="BI28" s="12"/>
      <c r="BJ28" s="12"/>
    </row>
    <row r="29" spans="1:62" x14ac:dyDescent="0.25">
      <c r="A29"/>
      <c r="B29"/>
      <c r="C29"/>
      <c r="D29"/>
      <c r="E29"/>
      <c r="BA29" t="s">
        <v>386</v>
      </c>
      <c r="BB29" t="s">
        <v>481</v>
      </c>
      <c r="BC29">
        <v>92.624899999999997</v>
      </c>
      <c r="BD29">
        <v>37.624699999999997</v>
      </c>
      <c r="BE29">
        <v>0</v>
      </c>
      <c r="BF29" s="29"/>
      <c r="BG29" s="29"/>
      <c r="BH29" s="12"/>
      <c r="BI29" s="12"/>
      <c r="BJ29" s="12"/>
    </row>
    <row r="30" spans="1:62" x14ac:dyDescent="0.25">
      <c r="A30"/>
      <c r="B30"/>
      <c r="C30"/>
      <c r="D30"/>
      <c r="E30"/>
      <c r="BA30" t="s">
        <v>391</v>
      </c>
      <c r="BB30" t="s">
        <v>479</v>
      </c>
      <c r="BC30">
        <v>140.14959999999999</v>
      </c>
      <c r="BD30">
        <v>12.849500000000001</v>
      </c>
      <c r="BE30">
        <v>0</v>
      </c>
      <c r="BF30" s="29"/>
      <c r="BG30" s="29"/>
      <c r="BH30" s="12"/>
      <c r="BI30" s="12"/>
      <c r="BJ30" s="12"/>
    </row>
    <row r="31" spans="1:62" x14ac:dyDescent="0.25">
      <c r="A31"/>
      <c r="B31"/>
      <c r="C31"/>
      <c r="D31"/>
      <c r="E31"/>
      <c r="BA31" t="s">
        <v>392</v>
      </c>
      <c r="BB31" t="s">
        <v>475</v>
      </c>
      <c r="BC31">
        <v>99.124799999999993</v>
      </c>
      <c r="BD31">
        <v>31.023199999999999</v>
      </c>
      <c r="BE31">
        <v>0</v>
      </c>
      <c r="BF31" s="29"/>
      <c r="BG31" s="29"/>
      <c r="BH31" s="12"/>
      <c r="BI31" s="12"/>
      <c r="BJ31" s="12"/>
    </row>
    <row r="32" spans="1:62" ht="15" customHeight="1" x14ac:dyDescent="0.25">
      <c r="A32"/>
      <c r="B32"/>
      <c r="C32"/>
      <c r="D32"/>
      <c r="E32"/>
      <c r="F32" s="16"/>
      <c r="BA32" t="s">
        <v>394</v>
      </c>
      <c r="BB32" t="s">
        <v>482</v>
      </c>
      <c r="BC32">
        <v>84.225099999999998</v>
      </c>
      <c r="BD32">
        <v>18.623000000000001</v>
      </c>
      <c r="BE32">
        <v>0</v>
      </c>
      <c r="BF32" s="16"/>
      <c r="BG32" s="29"/>
      <c r="BH32" s="12"/>
      <c r="BI32" s="12"/>
      <c r="BJ32" s="12"/>
    </row>
    <row r="33" spans="1:62" x14ac:dyDescent="0.25">
      <c r="A33"/>
      <c r="B33"/>
      <c r="C33"/>
      <c r="D33"/>
      <c r="E33"/>
      <c r="BA33" t="s">
        <v>445</v>
      </c>
      <c r="BB33" t="s">
        <v>483</v>
      </c>
      <c r="BC33">
        <v>105.3262</v>
      </c>
      <c r="BD33">
        <v>33.123800000000003</v>
      </c>
      <c r="BE33">
        <v>0</v>
      </c>
      <c r="BF33" s="29"/>
      <c r="BG33" s="29"/>
      <c r="BH33" s="12"/>
      <c r="BI33" s="12"/>
      <c r="BJ33" s="12"/>
    </row>
    <row r="34" spans="1:62" x14ac:dyDescent="0.25">
      <c r="A34"/>
      <c r="B34"/>
      <c r="C34"/>
      <c r="D34"/>
      <c r="E34"/>
      <c r="F34" s="16"/>
      <c r="BA34" t="s">
        <v>446</v>
      </c>
      <c r="BB34" t="s">
        <v>475</v>
      </c>
      <c r="BC34">
        <v>99.124799999999993</v>
      </c>
      <c r="BD34">
        <v>37.624699999999997</v>
      </c>
      <c r="BE34">
        <v>0</v>
      </c>
      <c r="BF34" s="16"/>
      <c r="BG34" s="29"/>
      <c r="BH34" s="12"/>
      <c r="BI34" s="12"/>
      <c r="BJ34" s="12"/>
    </row>
    <row r="35" spans="1:62" x14ac:dyDescent="0.25">
      <c r="A35"/>
      <c r="B35"/>
      <c r="C35"/>
      <c r="D35"/>
      <c r="E35"/>
      <c r="F35" s="16"/>
      <c r="G35" s="16"/>
      <c r="BA35" t="s">
        <v>447</v>
      </c>
      <c r="BB35" t="s">
        <v>484</v>
      </c>
      <c r="BC35">
        <v>96.225399999999993</v>
      </c>
      <c r="BD35">
        <v>35.124099999999999</v>
      </c>
      <c r="BE35">
        <v>0</v>
      </c>
      <c r="BF35" s="16"/>
      <c r="BG35" s="16"/>
      <c r="BH35" s="12"/>
      <c r="BI35" s="12"/>
      <c r="BJ35" s="12"/>
    </row>
    <row r="36" spans="1:62" x14ac:dyDescent="0.25">
      <c r="A36"/>
      <c r="B36"/>
      <c r="C36"/>
      <c r="D36"/>
      <c r="E36"/>
      <c r="BA36" t="s">
        <v>448</v>
      </c>
      <c r="BB36" t="s">
        <v>485</v>
      </c>
      <c r="BC36">
        <v>81.625399999999999</v>
      </c>
      <c r="BD36">
        <v>15.924200000000001</v>
      </c>
      <c r="BE36">
        <v>0</v>
      </c>
      <c r="BF36" s="29"/>
      <c r="BG36" s="29"/>
      <c r="BH36" s="12"/>
      <c r="BI36" s="12"/>
      <c r="BJ36" s="12"/>
    </row>
    <row r="37" spans="1:62" x14ac:dyDescent="0.25">
      <c r="A37"/>
      <c r="B37"/>
      <c r="C37"/>
      <c r="D37"/>
      <c r="E37"/>
      <c r="BA37" t="s">
        <v>426</v>
      </c>
      <c r="BB37" t="s">
        <v>475</v>
      </c>
      <c r="BC37">
        <v>62.475099999999998</v>
      </c>
      <c r="BD37">
        <v>15.798500000000001</v>
      </c>
      <c r="BE37">
        <v>0</v>
      </c>
      <c r="BF37" s="29"/>
      <c r="BG37" s="29"/>
      <c r="BH37" s="12"/>
      <c r="BI37" s="12"/>
      <c r="BJ37" s="12"/>
    </row>
    <row r="38" spans="1:62" x14ac:dyDescent="0.25">
      <c r="A38"/>
      <c r="B38"/>
      <c r="C38"/>
      <c r="D38"/>
      <c r="E38"/>
      <c r="BA38" t="s">
        <v>433</v>
      </c>
      <c r="BB38" t="s">
        <v>477</v>
      </c>
      <c r="BC38">
        <v>59.924999999999997</v>
      </c>
      <c r="BD38">
        <v>19.423100000000002</v>
      </c>
      <c r="BE38">
        <v>0</v>
      </c>
      <c r="BF38" s="29"/>
      <c r="BG38" s="29"/>
      <c r="BH38" s="12"/>
      <c r="BI38" s="12"/>
      <c r="BJ38" s="12"/>
    </row>
    <row r="39" spans="1:62" x14ac:dyDescent="0.25">
      <c r="A39"/>
      <c r="B39"/>
      <c r="C39"/>
      <c r="D39"/>
      <c r="E39"/>
      <c r="BA39" t="s">
        <v>449</v>
      </c>
      <c r="BB39" t="s">
        <v>478</v>
      </c>
      <c r="BC39">
        <v>46.3245</v>
      </c>
      <c r="BD39">
        <v>11.0245</v>
      </c>
      <c r="BE39">
        <v>0</v>
      </c>
      <c r="BF39" s="29"/>
      <c r="BG39" s="29"/>
      <c r="BH39" s="12"/>
      <c r="BI39" s="12"/>
      <c r="BJ39" s="12"/>
    </row>
    <row r="40" spans="1:62" x14ac:dyDescent="0.25">
      <c r="A40"/>
      <c r="B40"/>
      <c r="C40"/>
      <c r="D40"/>
      <c r="E40"/>
      <c r="BA40" t="s">
        <v>450</v>
      </c>
      <c r="BB40" t="s">
        <v>479</v>
      </c>
      <c r="BC40">
        <v>59.425800000000002</v>
      </c>
      <c r="BD40">
        <v>15.723599999999999</v>
      </c>
      <c r="BE40">
        <v>0</v>
      </c>
      <c r="BF40" s="29"/>
      <c r="BG40" s="29"/>
      <c r="BH40" s="12"/>
      <c r="BI40" s="12"/>
      <c r="BJ40" s="12"/>
    </row>
    <row r="41" spans="1:62" x14ac:dyDescent="0.25">
      <c r="A41"/>
      <c r="B41"/>
      <c r="C41"/>
      <c r="D41"/>
      <c r="E41"/>
      <c r="BA41" t="s">
        <v>486</v>
      </c>
      <c r="BB41" t="s">
        <v>480</v>
      </c>
      <c r="BC41">
        <v>59.824599999999997</v>
      </c>
      <c r="BD41">
        <v>11.2239</v>
      </c>
      <c r="BE41">
        <v>0</v>
      </c>
      <c r="BF41" s="29"/>
      <c r="BG41" s="29"/>
      <c r="BH41" s="12"/>
      <c r="BI41" s="12"/>
      <c r="BJ41" s="12"/>
    </row>
    <row r="42" spans="1:62" x14ac:dyDescent="0.25">
      <c r="A42"/>
      <c r="B42"/>
      <c r="C42"/>
      <c r="D42"/>
      <c r="E42"/>
      <c r="BA42" t="s">
        <v>487</v>
      </c>
      <c r="BB42" t="s">
        <v>479</v>
      </c>
      <c r="BC42">
        <v>56.625500000000002</v>
      </c>
      <c r="BD42">
        <v>11.2239</v>
      </c>
      <c r="BE42">
        <v>0</v>
      </c>
      <c r="BF42" s="29"/>
      <c r="BG42" s="29"/>
      <c r="BH42" s="12"/>
      <c r="BI42" s="12"/>
      <c r="BJ42" s="12"/>
    </row>
    <row r="43" spans="1:62" x14ac:dyDescent="0.25">
      <c r="A43"/>
      <c r="B43"/>
      <c r="C43"/>
      <c r="D43"/>
      <c r="E43"/>
      <c r="F43" s="16"/>
      <c r="G43" s="16"/>
      <c r="BA43" t="s">
        <v>395</v>
      </c>
      <c r="BB43" t="s">
        <v>488</v>
      </c>
      <c r="BC43">
        <v>130.3503</v>
      </c>
      <c r="BD43">
        <v>17.6997</v>
      </c>
      <c r="BE43">
        <v>0</v>
      </c>
      <c r="BF43" s="16"/>
      <c r="BG43" s="16"/>
      <c r="BH43" s="12"/>
      <c r="BI43" s="12"/>
      <c r="BJ43" s="12"/>
    </row>
    <row r="44" spans="1:62" ht="15" customHeight="1" x14ac:dyDescent="0.25">
      <c r="A44"/>
      <c r="B44"/>
      <c r="C44"/>
      <c r="D44"/>
      <c r="E44"/>
      <c r="BA44" t="s">
        <v>427</v>
      </c>
      <c r="BB44" t="s">
        <v>489</v>
      </c>
      <c r="BC44">
        <v>98.826300000000003</v>
      </c>
      <c r="BD44">
        <v>35.023699999999998</v>
      </c>
      <c r="BE44">
        <v>0</v>
      </c>
      <c r="BF44" s="29"/>
      <c r="BG44" s="29"/>
      <c r="BH44" s="12"/>
      <c r="BI44" s="12"/>
      <c r="BJ44" s="12"/>
    </row>
    <row r="45" spans="1:62" x14ac:dyDescent="0.25">
      <c r="A45"/>
      <c r="B45"/>
      <c r="C45"/>
      <c r="D45"/>
      <c r="E45"/>
      <c r="F45" s="16"/>
      <c r="G45" s="16"/>
      <c r="BA45" t="s">
        <v>490</v>
      </c>
      <c r="BB45" t="s">
        <v>488</v>
      </c>
      <c r="BC45">
        <v>46.3245</v>
      </c>
      <c r="BD45">
        <v>16.724299999999999</v>
      </c>
      <c r="BE45">
        <v>0</v>
      </c>
      <c r="BF45" s="16"/>
      <c r="BG45" s="16"/>
      <c r="BH45" s="12"/>
      <c r="BI45" s="12"/>
      <c r="BJ45" s="12"/>
    </row>
    <row r="46" spans="1:62" x14ac:dyDescent="0.25">
      <c r="A46"/>
      <c r="B46"/>
      <c r="C46"/>
      <c r="D46"/>
      <c r="E46"/>
      <c r="BA46" t="s">
        <v>453</v>
      </c>
      <c r="BB46" t="s">
        <v>491</v>
      </c>
      <c r="BC46">
        <v>102.7252</v>
      </c>
      <c r="BD46">
        <v>36.623899999999999</v>
      </c>
      <c r="BE46">
        <v>0</v>
      </c>
      <c r="BF46" s="29"/>
      <c r="BG46" s="29"/>
      <c r="BH46" s="12"/>
      <c r="BI46" s="12"/>
      <c r="BJ46" s="12"/>
    </row>
    <row r="47" spans="1:62" x14ac:dyDescent="0.25">
      <c r="A47"/>
      <c r="B47"/>
      <c r="C47"/>
      <c r="D47"/>
      <c r="E47"/>
      <c r="BA47" t="s">
        <v>454</v>
      </c>
      <c r="BB47" t="s">
        <v>492</v>
      </c>
      <c r="BC47">
        <v>89.325500000000005</v>
      </c>
      <c r="BD47">
        <v>16.623999999999999</v>
      </c>
      <c r="BE47">
        <v>0</v>
      </c>
      <c r="BF47" s="29"/>
      <c r="BG47" s="29"/>
      <c r="BH47" s="12"/>
      <c r="BI47" s="12"/>
      <c r="BJ47" s="12"/>
    </row>
    <row r="48" spans="1:62" x14ac:dyDescent="0.25">
      <c r="A48"/>
      <c r="B48"/>
      <c r="C48"/>
      <c r="D48"/>
      <c r="E48"/>
      <c r="BA48" t="s">
        <v>452</v>
      </c>
      <c r="BB48" t="s">
        <v>491</v>
      </c>
      <c r="BC48">
        <v>102.82559999999999</v>
      </c>
      <c r="BD48">
        <v>33.123800000000003</v>
      </c>
      <c r="BE48">
        <v>0</v>
      </c>
      <c r="BF48" s="29"/>
      <c r="BG48" s="29"/>
      <c r="BH48" s="12"/>
      <c r="BI48" s="12"/>
      <c r="BJ48" s="12"/>
    </row>
    <row r="49" spans="1:62" x14ac:dyDescent="0.25">
      <c r="A49"/>
      <c r="B49"/>
      <c r="C49"/>
      <c r="D49"/>
      <c r="E49"/>
      <c r="BA49" t="s">
        <v>493</v>
      </c>
      <c r="BB49" t="s">
        <v>493</v>
      </c>
      <c r="BC49">
        <v>0</v>
      </c>
      <c r="BD49">
        <v>15.399900000000001</v>
      </c>
      <c r="BE49">
        <v>0</v>
      </c>
      <c r="BF49" s="29"/>
      <c r="BG49" s="29"/>
      <c r="BH49" s="12"/>
      <c r="BI49" s="12"/>
      <c r="BJ49" s="12"/>
    </row>
    <row r="50" spans="1:62" ht="15" customHeight="1" x14ac:dyDescent="0.25">
      <c r="A50"/>
      <c r="B50"/>
      <c r="C50"/>
      <c r="D50"/>
      <c r="E50"/>
      <c r="BA50"/>
      <c r="BB50"/>
      <c r="BC50"/>
      <c r="BD50"/>
      <c r="BE50"/>
      <c r="BF50" s="29"/>
      <c r="BG50" s="29"/>
      <c r="BH50" s="12"/>
      <c r="BI50" s="12"/>
      <c r="BJ50" s="12"/>
    </row>
    <row r="51" spans="1:62" x14ac:dyDescent="0.25">
      <c r="A51"/>
      <c r="B51"/>
      <c r="C51"/>
      <c r="D51"/>
      <c r="E51"/>
      <c r="BA51"/>
      <c r="BB51"/>
      <c r="BC51"/>
      <c r="BD51"/>
      <c r="BE51"/>
      <c r="BF51" s="29"/>
      <c r="BG51" s="29"/>
      <c r="BH51" s="12"/>
      <c r="BI51" s="12"/>
      <c r="BJ51" s="12"/>
    </row>
    <row r="52" spans="1:62" x14ac:dyDescent="0.25">
      <c r="A52"/>
      <c r="B52"/>
      <c r="C52"/>
      <c r="D52"/>
      <c r="E52"/>
      <c r="BA52"/>
      <c r="BB52"/>
      <c r="BC52"/>
      <c r="BD52"/>
      <c r="BE52"/>
      <c r="BF52" s="29"/>
      <c r="BG52" s="29"/>
      <c r="BH52" s="12"/>
      <c r="BI52" s="12"/>
      <c r="BJ52" s="12"/>
    </row>
    <row r="53" spans="1:62" x14ac:dyDescent="0.25">
      <c r="A53"/>
      <c r="B53"/>
      <c r="C53"/>
      <c r="D53"/>
      <c r="E53"/>
      <c r="F53" s="16"/>
      <c r="G53" s="16"/>
      <c r="BA53"/>
      <c r="BB53"/>
      <c r="BC53"/>
      <c r="BD53"/>
      <c r="BE53"/>
      <c r="BF53" s="16"/>
      <c r="BG53" s="16"/>
      <c r="BH53" s="12"/>
      <c r="BI53" s="12"/>
      <c r="BJ53" s="12"/>
    </row>
    <row r="54" spans="1:62" x14ac:dyDescent="0.25">
      <c r="A54"/>
      <c r="B54"/>
      <c r="C54"/>
      <c r="D54"/>
      <c r="E54"/>
      <c r="F54" s="16"/>
      <c r="G54" s="16"/>
      <c r="BA54"/>
      <c r="BB54"/>
      <c r="BC54"/>
      <c r="BD54"/>
      <c r="BE54"/>
      <c r="BF54" s="16"/>
      <c r="BG54" s="16"/>
      <c r="BH54" s="12"/>
      <c r="BI54" s="12"/>
      <c r="BJ54" s="12"/>
    </row>
    <row r="55" spans="1:62" x14ac:dyDescent="0.25">
      <c r="A55"/>
      <c r="B55"/>
      <c r="C55"/>
      <c r="D55"/>
      <c r="E55"/>
      <c r="BA55"/>
      <c r="BB55"/>
      <c r="BC55"/>
      <c r="BD55"/>
      <c r="BE55"/>
      <c r="BF55" s="29"/>
      <c r="BG55" s="29"/>
      <c r="BH55" s="12"/>
      <c r="BI55" s="12"/>
      <c r="BJ55" s="12"/>
    </row>
    <row r="56" spans="1:62" x14ac:dyDescent="0.25">
      <c r="A56"/>
      <c r="B56"/>
      <c r="C56"/>
      <c r="D56"/>
      <c r="E56"/>
      <c r="BA56"/>
      <c r="BB56"/>
      <c r="BC56"/>
      <c r="BD56"/>
      <c r="BE56"/>
      <c r="BF56" s="29"/>
      <c r="BG56" s="29"/>
      <c r="BH56" s="12"/>
      <c r="BI56" s="12"/>
      <c r="BJ56" s="12"/>
    </row>
    <row r="57" spans="1:62" x14ac:dyDescent="0.25">
      <c r="A57"/>
      <c r="B57"/>
      <c r="C57"/>
      <c r="D57"/>
      <c r="E57"/>
      <c r="BA57"/>
      <c r="BB57"/>
      <c r="BC57"/>
      <c r="BD57"/>
      <c r="BE57"/>
      <c r="BF57" s="29"/>
      <c r="BG57" s="29"/>
      <c r="BH57" s="12"/>
      <c r="BI57" s="12"/>
      <c r="BJ57" s="12"/>
    </row>
    <row r="58" spans="1:62" x14ac:dyDescent="0.25">
      <c r="A58"/>
      <c r="B58"/>
      <c r="C58"/>
      <c r="D58"/>
      <c r="E58"/>
      <c r="BA58"/>
      <c r="BB58"/>
      <c r="BC58"/>
      <c r="BD58"/>
      <c r="BE58"/>
      <c r="BF58" s="29"/>
      <c r="BG58" s="29"/>
      <c r="BH58" s="12"/>
      <c r="BI58" s="12"/>
      <c r="BJ58" s="12"/>
    </row>
    <row r="59" spans="1:62" x14ac:dyDescent="0.25">
      <c r="A59"/>
      <c r="B59"/>
      <c r="C59"/>
      <c r="D59"/>
      <c r="E59"/>
      <c r="F59" s="16"/>
      <c r="G59" s="16"/>
      <c r="BA59"/>
      <c r="BB59"/>
      <c r="BC59"/>
      <c r="BD59"/>
      <c r="BE59"/>
      <c r="BF59" s="16"/>
      <c r="BG59" s="16"/>
      <c r="BH59" s="12"/>
      <c r="BI59" s="12"/>
      <c r="BJ59" s="12"/>
    </row>
    <row r="60" spans="1:62" x14ac:dyDescent="0.25">
      <c r="A60"/>
      <c r="B60"/>
      <c r="C60"/>
      <c r="D60"/>
      <c r="E60"/>
      <c r="BA60"/>
      <c r="BB60"/>
      <c r="BC60"/>
      <c r="BD60"/>
      <c r="BE60"/>
      <c r="BF60" s="29"/>
      <c r="BG60" s="29"/>
      <c r="BH60" s="12"/>
      <c r="BI60" s="12"/>
      <c r="BJ60" s="12"/>
    </row>
    <row r="61" spans="1:62" x14ac:dyDescent="0.25">
      <c r="A61"/>
      <c r="B61"/>
      <c r="C61"/>
      <c r="D61"/>
      <c r="E61"/>
      <c r="BA61"/>
      <c r="BB61"/>
      <c r="BC61"/>
      <c r="BD61"/>
      <c r="BE61"/>
      <c r="BF61" s="29"/>
      <c r="BG61" s="29"/>
      <c r="BH61" s="12"/>
      <c r="BI61" s="12"/>
      <c r="BJ61" s="12"/>
    </row>
    <row r="62" spans="1:62" x14ac:dyDescent="0.25">
      <c r="A62"/>
      <c r="B62"/>
      <c r="C62"/>
      <c r="D62"/>
      <c r="E62"/>
      <c r="BA62"/>
      <c r="BB62"/>
      <c r="BC62"/>
      <c r="BD62"/>
      <c r="BE62"/>
      <c r="BF62" s="29"/>
      <c r="BG62" s="29"/>
      <c r="BH62" s="12"/>
      <c r="BI62" s="12"/>
      <c r="BJ62" s="12"/>
    </row>
    <row r="63" spans="1:62" x14ac:dyDescent="0.25">
      <c r="A63"/>
      <c r="B63"/>
      <c r="C63"/>
      <c r="D63"/>
      <c r="E63"/>
      <c r="F63" s="16"/>
      <c r="G63" s="16"/>
      <c r="BA63"/>
      <c r="BB63"/>
      <c r="BC63"/>
      <c r="BD63"/>
      <c r="BE63"/>
      <c r="BF63" s="16"/>
      <c r="BG63" s="16"/>
      <c r="BH63" s="12"/>
      <c r="BI63" s="12"/>
      <c r="BJ63" s="12"/>
    </row>
    <row r="64" spans="1:62" x14ac:dyDescent="0.25">
      <c r="A64"/>
      <c r="B64"/>
      <c r="C64"/>
      <c r="D64"/>
      <c r="E64"/>
      <c r="BA64"/>
      <c r="BB64"/>
      <c r="BC64"/>
      <c r="BD64"/>
      <c r="BE64"/>
      <c r="BF64" s="29"/>
      <c r="BG64" s="29"/>
      <c r="BH64" s="12"/>
      <c r="BI64" s="12"/>
      <c r="BJ64" s="12"/>
    </row>
    <row r="65" spans="1:62" x14ac:dyDescent="0.25">
      <c r="A65"/>
      <c r="B65"/>
      <c r="C65"/>
      <c r="D65"/>
      <c r="E65"/>
      <c r="F65" s="16"/>
      <c r="G65" s="16"/>
      <c r="BA65"/>
      <c r="BB65"/>
      <c r="BC65"/>
      <c r="BD65"/>
      <c r="BE65"/>
      <c r="BF65" s="16"/>
      <c r="BG65" s="16"/>
      <c r="BH65" s="12"/>
      <c r="BI65" s="12"/>
      <c r="BJ65" s="12"/>
    </row>
    <row r="66" spans="1:62" x14ac:dyDescent="0.25">
      <c r="A66"/>
      <c r="B66"/>
      <c r="C66"/>
      <c r="D66"/>
      <c r="E66"/>
      <c r="F66" s="16"/>
      <c r="G66" s="16"/>
      <c r="BA66"/>
      <c r="BB66"/>
      <c r="BC66"/>
      <c r="BD66"/>
      <c r="BE66"/>
      <c r="BF66" s="16"/>
      <c r="BG66" s="16"/>
      <c r="BH66" s="12"/>
      <c r="BI66" s="12"/>
      <c r="BJ66" s="12"/>
    </row>
    <row r="67" spans="1:62" x14ac:dyDescent="0.25">
      <c r="A67"/>
      <c r="B67"/>
      <c r="C67"/>
      <c r="D67"/>
      <c r="E67"/>
      <c r="F67" s="16"/>
      <c r="G67" s="16"/>
      <c r="BA67"/>
      <c r="BB67"/>
      <c r="BC67"/>
      <c r="BD67"/>
      <c r="BE67"/>
      <c r="BF67" s="16"/>
      <c r="BG67" s="16"/>
      <c r="BH67" s="12"/>
      <c r="BI67" s="12"/>
      <c r="BJ67" s="12"/>
    </row>
    <row r="68" spans="1:62" x14ac:dyDescent="0.25">
      <c r="A68"/>
      <c r="B68"/>
      <c r="C68"/>
      <c r="D68"/>
      <c r="E68"/>
      <c r="BA68"/>
      <c r="BB68"/>
      <c r="BC68"/>
      <c r="BD68"/>
      <c r="BE68"/>
      <c r="BF68" s="29"/>
      <c r="BG68" s="29"/>
      <c r="BH68" s="12"/>
      <c r="BI68" s="12"/>
      <c r="BJ68" s="12"/>
    </row>
    <row r="69" spans="1:62" x14ac:dyDescent="0.25">
      <c r="A69"/>
      <c r="B69"/>
      <c r="C69"/>
      <c r="D69"/>
      <c r="E69"/>
      <c r="F69" s="16"/>
      <c r="BA69"/>
      <c r="BB69"/>
      <c r="BC69"/>
      <c r="BD69"/>
      <c r="BE69"/>
      <c r="BF69" s="16"/>
      <c r="BG69" s="29"/>
      <c r="BH69" s="12"/>
      <c r="BI69" s="12"/>
      <c r="BJ69" s="12"/>
    </row>
    <row r="70" spans="1:62" x14ac:dyDescent="0.25">
      <c r="A70"/>
      <c r="B70"/>
      <c r="C70"/>
      <c r="D70"/>
      <c r="E70"/>
      <c r="BA70"/>
      <c r="BB70"/>
      <c r="BC70"/>
      <c r="BD70"/>
      <c r="BE70"/>
      <c r="BF70" s="29"/>
      <c r="BG70" s="29"/>
      <c r="BH70" s="12"/>
      <c r="BI70" s="12"/>
      <c r="BJ70" s="12"/>
    </row>
    <row r="71" spans="1:62" x14ac:dyDescent="0.25">
      <c r="A71"/>
      <c r="B71"/>
      <c r="C71"/>
      <c r="D71"/>
      <c r="E71"/>
      <c r="BA71"/>
      <c r="BB71"/>
      <c r="BC71"/>
      <c r="BD71"/>
      <c r="BE71"/>
      <c r="BF71" s="29"/>
      <c r="BG71" s="29"/>
      <c r="BH71" s="12"/>
      <c r="BI71" s="12"/>
      <c r="BJ71" s="12"/>
    </row>
    <row r="72" spans="1:62" x14ac:dyDescent="0.25">
      <c r="A72"/>
      <c r="B72"/>
      <c r="C72"/>
      <c r="D72"/>
      <c r="E72"/>
      <c r="BA72"/>
      <c r="BB72"/>
      <c r="BC72"/>
      <c r="BD72"/>
      <c r="BE72"/>
      <c r="BF72" s="29"/>
      <c r="BG72" s="29"/>
      <c r="BH72" s="12"/>
      <c r="BI72" s="12"/>
      <c r="BJ72" s="12"/>
    </row>
    <row r="73" spans="1:62" x14ac:dyDescent="0.25">
      <c r="A73"/>
      <c r="B73"/>
      <c r="C73"/>
      <c r="D73"/>
      <c r="E73"/>
      <c r="BA73"/>
      <c r="BB73"/>
      <c r="BC73"/>
      <c r="BD73"/>
      <c r="BE73"/>
      <c r="BF73" s="29"/>
      <c r="BG73" s="29"/>
      <c r="BH73" s="12"/>
      <c r="BI73" s="12"/>
      <c r="BJ73" s="12"/>
    </row>
    <row r="74" spans="1:62" x14ac:dyDescent="0.25">
      <c r="A74"/>
      <c r="B74"/>
      <c r="C74"/>
      <c r="D74"/>
      <c r="E74"/>
      <c r="F74" s="16"/>
      <c r="BA74"/>
      <c r="BB74"/>
      <c r="BC74"/>
      <c r="BD74"/>
      <c r="BE74"/>
      <c r="BF74" s="16"/>
      <c r="BG74" s="29"/>
      <c r="BH74" s="12"/>
      <c r="BI74" s="12"/>
      <c r="BJ74" s="12"/>
    </row>
    <row r="75" spans="1:62" x14ac:dyDescent="0.25">
      <c r="A75"/>
      <c r="B75"/>
      <c r="C75"/>
      <c r="D75"/>
      <c r="E75"/>
      <c r="BA75"/>
      <c r="BB75"/>
      <c r="BC75"/>
      <c r="BD75"/>
      <c r="BE75"/>
      <c r="BF75" s="29"/>
      <c r="BG75" s="29"/>
      <c r="BH75" s="12"/>
      <c r="BI75" s="12"/>
      <c r="BJ75" s="12"/>
    </row>
    <row r="76" spans="1:62" x14ac:dyDescent="0.25">
      <c r="A76"/>
      <c r="B76"/>
      <c r="C76"/>
      <c r="D76"/>
      <c r="E76"/>
      <c r="BA76"/>
      <c r="BB76"/>
      <c r="BC76"/>
      <c r="BD76"/>
      <c r="BE76"/>
      <c r="BF76" s="29"/>
      <c r="BG76" s="29"/>
      <c r="BH76" s="12"/>
      <c r="BI76" s="12"/>
      <c r="BJ76" s="12"/>
    </row>
    <row r="77" spans="1:62" x14ac:dyDescent="0.25">
      <c r="A77"/>
      <c r="B77"/>
      <c r="C77"/>
      <c r="D77"/>
      <c r="E77"/>
      <c r="F77" s="16"/>
      <c r="G77" s="16"/>
      <c r="BA77"/>
      <c r="BB77"/>
      <c r="BC77"/>
      <c r="BD77"/>
      <c r="BE77"/>
      <c r="BF77" s="16"/>
      <c r="BG77" s="16"/>
      <c r="BH77" s="12"/>
      <c r="BI77" s="12"/>
      <c r="BJ77" s="12"/>
    </row>
    <row r="78" spans="1:62" x14ac:dyDescent="0.25">
      <c r="A78"/>
      <c r="B78"/>
      <c r="C78"/>
      <c r="D78"/>
      <c r="E78"/>
      <c r="BA78"/>
      <c r="BB78"/>
      <c r="BC78"/>
      <c r="BD78"/>
      <c r="BE78"/>
      <c r="BF78" s="29"/>
      <c r="BG78" s="29"/>
      <c r="BH78" s="12"/>
      <c r="BI78" s="12"/>
      <c r="BJ78" s="12"/>
    </row>
    <row r="79" spans="1:62" x14ac:dyDescent="0.25">
      <c r="A79"/>
      <c r="B79"/>
      <c r="C79"/>
      <c r="D79"/>
      <c r="E79"/>
      <c r="BA79"/>
      <c r="BB79"/>
      <c r="BC79"/>
      <c r="BD79"/>
      <c r="BE79"/>
      <c r="BF79" s="29"/>
      <c r="BG79" s="29"/>
      <c r="BH79" s="12"/>
      <c r="BI79" s="12"/>
      <c r="BJ79" s="12"/>
    </row>
    <row r="80" spans="1:62" x14ac:dyDescent="0.25">
      <c r="A80"/>
      <c r="B80"/>
      <c r="C80"/>
      <c r="D80"/>
      <c r="E80"/>
      <c r="BA80"/>
      <c r="BB80"/>
      <c r="BC80"/>
      <c r="BD80"/>
      <c r="BE80"/>
      <c r="BF80" s="29"/>
      <c r="BG80" s="29"/>
      <c r="BH80" s="12"/>
      <c r="BI80" s="12"/>
      <c r="BJ80" s="12"/>
    </row>
    <row r="81" spans="1:62" x14ac:dyDescent="0.25">
      <c r="A81"/>
      <c r="B81"/>
      <c r="C81"/>
      <c r="D81"/>
      <c r="E81"/>
      <c r="F81" s="16"/>
      <c r="G81" s="16"/>
      <c r="BA81"/>
      <c r="BB81"/>
      <c r="BC81"/>
      <c r="BD81"/>
      <c r="BE81"/>
      <c r="BF81" s="16"/>
      <c r="BG81" s="16"/>
      <c r="BH81" s="12"/>
      <c r="BI81" s="12"/>
      <c r="BJ81" s="12"/>
    </row>
    <row r="82" spans="1:62" x14ac:dyDescent="0.25">
      <c r="A82"/>
      <c r="B82"/>
      <c r="C82"/>
      <c r="D82"/>
      <c r="E82"/>
      <c r="F82"/>
      <c r="BA82"/>
      <c r="BB82"/>
      <c r="BC82"/>
      <c r="BD82"/>
      <c r="BE82"/>
      <c r="BF82"/>
      <c r="BG82" s="29"/>
      <c r="BH82" s="12"/>
      <c r="BI82" s="12"/>
      <c r="BJ82" s="12"/>
    </row>
    <row r="83" spans="1:62" x14ac:dyDescent="0.25">
      <c r="A83"/>
      <c r="B83"/>
      <c r="C83"/>
      <c r="D83"/>
      <c r="E83"/>
      <c r="BA83"/>
      <c r="BB83"/>
      <c r="BC83"/>
      <c r="BD83"/>
      <c r="BE83"/>
      <c r="BF83" s="29"/>
      <c r="BG83" s="29"/>
      <c r="BH83" s="12"/>
      <c r="BI83" s="12"/>
      <c r="BJ83" s="12"/>
    </row>
    <row r="84" spans="1:62" x14ac:dyDescent="0.25">
      <c r="A84"/>
      <c r="B84"/>
      <c r="C84"/>
      <c r="D84"/>
      <c r="E84"/>
      <c r="BA84"/>
      <c r="BB84"/>
      <c r="BC84"/>
      <c r="BD84"/>
      <c r="BE84"/>
      <c r="BF84" s="29"/>
      <c r="BG84" s="29"/>
      <c r="BH84" s="12"/>
      <c r="BI84" s="12"/>
      <c r="BJ84" s="12"/>
    </row>
    <row r="85" spans="1:62" x14ac:dyDescent="0.25">
      <c r="A85"/>
      <c r="B85"/>
      <c r="C85"/>
      <c r="D85"/>
      <c r="E85"/>
      <c r="F85" s="16"/>
      <c r="G85" s="16"/>
      <c r="BA85"/>
      <c r="BB85"/>
      <c r="BC85"/>
      <c r="BD85"/>
      <c r="BE85"/>
      <c r="BF85" s="16"/>
      <c r="BG85" s="16"/>
      <c r="BH85" s="12"/>
      <c r="BI85" s="12"/>
      <c r="BJ85" s="12"/>
    </row>
    <row r="86" spans="1:62" x14ac:dyDescent="0.25">
      <c r="A86"/>
      <c r="B86"/>
      <c r="C86"/>
      <c r="D86"/>
      <c r="E86"/>
      <c r="F86"/>
      <c r="BA86"/>
      <c r="BB86"/>
      <c r="BC86"/>
      <c r="BD86"/>
      <c r="BE86"/>
      <c r="BF86"/>
      <c r="BG86" s="29"/>
      <c r="BH86" s="12"/>
      <c r="BI86" s="12"/>
      <c r="BJ86" s="12"/>
    </row>
    <row r="87" spans="1:62" x14ac:dyDescent="0.25">
      <c r="A87"/>
      <c r="B87"/>
      <c r="C87"/>
      <c r="D87"/>
      <c r="E87"/>
      <c r="BA87"/>
      <c r="BB87"/>
      <c r="BC87"/>
      <c r="BD87"/>
      <c r="BE87"/>
      <c r="BF87" s="29"/>
      <c r="BG87" s="29"/>
      <c r="BH87" s="12"/>
      <c r="BI87" s="12"/>
      <c r="BJ87" s="12"/>
    </row>
    <row r="88" spans="1:62" x14ac:dyDescent="0.25">
      <c r="A88"/>
      <c r="B88"/>
      <c r="C88"/>
      <c r="D88"/>
      <c r="E88"/>
      <c r="BA88"/>
      <c r="BB88"/>
      <c r="BC88"/>
      <c r="BD88"/>
      <c r="BE88"/>
      <c r="BF88" s="29"/>
      <c r="BG88" s="29"/>
      <c r="BH88" s="12"/>
      <c r="BI88" s="12"/>
      <c r="BJ88" s="12"/>
    </row>
    <row r="89" spans="1:62" x14ac:dyDescent="0.25">
      <c r="A89"/>
      <c r="B89"/>
      <c r="C89"/>
      <c r="D89"/>
      <c r="E89"/>
      <c r="BA89"/>
      <c r="BB89"/>
      <c r="BC89"/>
      <c r="BD89"/>
      <c r="BE89"/>
      <c r="BF89" s="29"/>
      <c r="BG89" s="29"/>
      <c r="BH89" s="12"/>
      <c r="BI89" s="12"/>
      <c r="BJ89" s="12"/>
    </row>
    <row r="90" spans="1:62" x14ac:dyDescent="0.25">
      <c r="A90"/>
      <c r="B90"/>
      <c r="C90"/>
      <c r="D90"/>
      <c r="E90"/>
      <c r="BA90"/>
      <c r="BB90"/>
      <c r="BC90"/>
      <c r="BD90"/>
      <c r="BE90"/>
      <c r="BF90" s="29"/>
      <c r="BG90" s="29"/>
      <c r="BH90" s="12"/>
      <c r="BI90" s="12"/>
      <c r="BJ90" s="12"/>
    </row>
    <row r="91" spans="1:62" x14ac:dyDescent="0.25">
      <c r="A91"/>
      <c r="B91"/>
      <c r="C91"/>
      <c r="D91"/>
      <c r="E91"/>
      <c r="BA91"/>
      <c r="BB91"/>
      <c r="BC91"/>
      <c r="BD91"/>
      <c r="BE91"/>
      <c r="BF91" s="29"/>
      <c r="BG91" s="29"/>
      <c r="BH91" s="12"/>
      <c r="BI91" s="12"/>
      <c r="BJ91" s="12"/>
    </row>
    <row r="92" spans="1:62" x14ac:dyDescent="0.25">
      <c r="A92"/>
      <c r="B92"/>
      <c r="C92"/>
      <c r="D92"/>
      <c r="E92"/>
      <c r="BA92"/>
      <c r="BB92"/>
      <c r="BC92"/>
      <c r="BD92"/>
      <c r="BE92"/>
      <c r="BF92" s="29"/>
      <c r="BG92" s="29"/>
      <c r="BH92" s="12"/>
      <c r="BI92" s="12"/>
      <c r="BJ92" s="12"/>
    </row>
    <row r="93" spans="1:62" x14ac:dyDescent="0.25">
      <c r="A93"/>
      <c r="B93"/>
      <c r="C93"/>
      <c r="D93"/>
      <c r="E93"/>
      <c r="BA93"/>
      <c r="BB93"/>
      <c r="BC93"/>
      <c r="BD93"/>
      <c r="BE93"/>
      <c r="BF93" s="29"/>
      <c r="BG93" s="29"/>
      <c r="BH93" s="12"/>
      <c r="BI93" s="12"/>
      <c r="BJ93" s="12"/>
    </row>
    <row r="94" spans="1:62" x14ac:dyDescent="0.25">
      <c r="A94"/>
      <c r="B94"/>
      <c r="C94"/>
      <c r="D94"/>
      <c r="E94"/>
      <c r="F94" s="16"/>
      <c r="G94" s="16"/>
      <c r="BA94"/>
      <c r="BB94"/>
      <c r="BC94"/>
      <c r="BD94"/>
      <c r="BE94"/>
      <c r="BF94" s="16"/>
      <c r="BG94" s="16"/>
      <c r="BH94" s="12"/>
      <c r="BI94" s="12"/>
      <c r="BJ94" s="12"/>
    </row>
    <row r="95" spans="1:62" x14ac:dyDescent="0.25">
      <c r="A95"/>
      <c r="B95"/>
      <c r="C95"/>
      <c r="D95"/>
      <c r="E95"/>
      <c r="BA95"/>
      <c r="BB95"/>
      <c r="BC95"/>
      <c r="BD95"/>
      <c r="BE95"/>
      <c r="BF95" s="29"/>
      <c r="BG95" s="29"/>
      <c r="BH95" s="12"/>
      <c r="BI95" s="12"/>
      <c r="BJ95" s="12"/>
    </row>
    <row r="96" spans="1:62" x14ac:dyDescent="0.25">
      <c r="A96"/>
      <c r="B96"/>
      <c r="C96"/>
      <c r="D96"/>
      <c r="E96"/>
      <c r="F96"/>
      <c r="G96" s="16"/>
      <c r="P96" s="28"/>
      <c r="Q96" s="28"/>
      <c r="R96" s="28"/>
      <c r="BA96"/>
      <c r="BB96"/>
      <c r="BC96"/>
      <c r="BD96"/>
      <c r="BE96"/>
      <c r="BF96"/>
      <c r="BG96" s="16"/>
      <c r="BH96" s="12"/>
      <c r="BI96" s="12"/>
      <c r="BJ96" s="12"/>
    </row>
    <row r="97" spans="1:62" x14ac:dyDescent="0.25">
      <c r="A97"/>
      <c r="B97"/>
      <c r="C97"/>
      <c r="D97"/>
      <c r="E97"/>
      <c r="F97"/>
      <c r="BA97"/>
      <c r="BB97"/>
      <c r="BC97"/>
      <c r="BD97"/>
      <c r="BE97"/>
      <c r="BF97"/>
      <c r="BG97" s="29"/>
      <c r="BH97" s="12"/>
      <c r="BI97" s="12"/>
      <c r="BJ97" s="12"/>
    </row>
    <row r="98" spans="1:62" x14ac:dyDescent="0.25">
      <c r="A98"/>
      <c r="B98"/>
      <c r="C98"/>
      <c r="D98"/>
      <c r="E98"/>
      <c r="F98"/>
      <c r="G98" s="33"/>
      <c r="H98" s="33"/>
      <c r="I98" s="33"/>
      <c r="BA98"/>
      <c r="BB98"/>
      <c r="BC98"/>
      <c r="BD98"/>
      <c r="BE98"/>
      <c r="BF98"/>
      <c r="BG98" s="33"/>
      <c r="BH98" s="33"/>
      <c r="BI98" s="33"/>
      <c r="BJ98" s="12"/>
    </row>
    <row r="99" spans="1:62" x14ac:dyDescent="0.25">
      <c r="A99"/>
      <c r="B99"/>
      <c r="C99"/>
      <c r="D99"/>
      <c r="E99"/>
      <c r="BA99"/>
      <c r="BB99"/>
      <c r="BC99"/>
      <c r="BD99"/>
      <c r="BE99"/>
      <c r="BF99" s="29"/>
      <c r="BG99" s="29"/>
      <c r="BH99" s="12"/>
      <c r="BI99" s="12"/>
      <c r="BJ99" s="12"/>
    </row>
    <row r="100" spans="1:62" x14ac:dyDescent="0.25">
      <c r="A100"/>
      <c r="B100"/>
      <c r="C100"/>
      <c r="D100"/>
      <c r="E100"/>
      <c r="BA100"/>
      <c r="BB100"/>
      <c r="BC100"/>
      <c r="BD100"/>
      <c r="BE100"/>
      <c r="BF100" s="29"/>
      <c r="BG100" s="29"/>
      <c r="BH100" s="12"/>
      <c r="BI100" s="12"/>
      <c r="BJ100" s="12"/>
    </row>
    <row r="101" spans="1:62" x14ac:dyDescent="0.25">
      <c r="A101"/>
      <c r="B101"/>
      <c r="C101"/>
      <c r="D101"/>
      <c r="E101"/>
      <c r="F101"/>
      <c r="BA101"/>
      <c r="BB101"/>
      <c r="BC101"/>
      <c r="BD101"/>
      <c r="BE101"/>
      <c r="BF101"/>
      <c r="BG101" s="29"/>
      <c r="BH101" s="12"/>
      <c r="BI101" s="12"/>
      <c r="BJ101" s="12"/>
    </row>
    <row r="102" spans="1:62" x14ac:dyDescent="0.25">
      <c r="A102"/>
      <c r="B102"/>
      <c r="C102"/>
      <c r="D102"/>
      <c r="E102"/>
      <c r="BA102"/>
      <c r="BB102"/>
      <c r="BC102"/>
      <c r="BD102"/>
      <c r="BE102"/>
      <c r="BF102" s="29"/>
      <c r="BG102" s="29"/>
      <c r="BH102" s="12"/>
      <c r="BI102" s="12"/>
      <c r="BJ102" s="12"/>
    </row>
    <row r="103" spans="1:62" x14ac:dyDescent="0.25">
      <c r="A103"/>
      <c r="B103"/>
      <c r="C103"/>
      <c r="D103"/>
      <c r="E103"/>
      <c r="BA103"/>
      <c r="BB103"/>
      <c r="BC103"/>
      <c r="BD103"/>
      <c r="BE103"/>
      <c r="BF103" s="29"/>
      <c r="BG103" s="29"/>
      <c r="BH103" s="12"/>
      <c r="BI103" s="12"/>
      <c r="BJ103" s="12"/>
    </row>
    <row r="104" spans="1:62" x14ac:dyDescent="0.25">
      <c r="A104"/>
      <c r="B104"/>
      <c r="C104"/>
      <c r="D104"/>
      <c r="E104"/>
      <c r="BA104"/>
      <c r="BB104"/>
      <c r="BC104"/>
      <c r="BD104"/>
      <c r="BE104"/>
      <c r="BF104" s="29"/>
      <c r="BG104" s="29"/>
      <c r="BH104" s="12"/>
      <c r="BI104" s="12"/>
      <c r="BJ104" s="12"/>
    </row>
    <row r="105" spans="1:62" x14ac:dyDescent="0.25">
      <c r="A105"/>
      <c r="B105"/>
      <c r="C105"/>
      <c r="D105"/>
      <c r="E105"/>
      <c r="F105" s="16"/>
      <c r="G105" s="16"/>
      <c r="BA105"/>
      <c r="BB105"/>
      <c r="BC105"/>
      <c r="BD105"/>
      <c r="BE105"/>
      <c r="BF105" s="16"/>
      <c r="BG105" s="16"/>
      <c r="BH105" s="12"/>
      <c r="BI105" s="12"/>
      <c r="BJ105" s="12"/>
    </row>
    <row r="106" spans="1:62" x14ac:dyDescent="0.25">
      <c r="A106"/>
      <c r="B106"/>
      <c r="C106"/>
      <c r="D106"/>
      <c r="E106"/>
      <c r="BA106"/>
      <c r="BB106"/>
      <c r="BC106"/>
      <c r="BD106"/>
      <c r="BE106"/>
      <c r="BF106" s="29"/>
      <c r="BG106" s="29"/>
      <c r="BH106" s="12"/>
      <c r="BI106" s="12"/>
      <c r="BJ106" s="12"/>
    </row>
    <row r="107" spans="1:62" x14ac:dyDescent="0.25">
      <c r="A107"/>
      <c r="B107"/>
      <c r="C107"/>
      <c r="D107"/>
      <c r="E107"/>
      <c r="BA107"/>
      <c r="BB107"/>
      <c r="BC107"/>
      <c r="BD107"/>
      <c r="BE107"/>
      <c r="BF107" s="29"/>
      <c r="BG107" s="29"/>
      <c r="BH107" s="12"/>
      <c r="BI107" s="12"/>
      <c r="BJ107" s="12"/>
    </row>
    <row r="108" spans="1:62" x14ac:dyDescent="0.25">
      <c r="A108"/>
      <c r="B108"/>
      <c r="C108"/>
      <c r="D108"/>
      <c r="E108"/>
      <c r="F108" s="16"/>
      <c r="G108" s="16"/>
      <c r="BA108"/>
      <c r="BB108"/>
      <c r="BC108"/>
      <c r="BD108"/>
      <c r="BE108"/>
      <c r="BF108" s="16"/>
      <c r="BG108" s="16"/>
      <c r="BH108" s="12"/>
      <c r="BI108" s="12"/>
      <c r="BJ108" s="12"/>
    </row>
    <row r="109" spans="1:62" x14ac:dyDescent="0.25">
      <c r="A109"/>
      <c r="B109"/>
      <c r="C109"/>
      <c r="D109"/>
      <c r="E109"/>
      <c r="F109" s="16"/>
      <c r="G109" s="16"/>
      <c r="BA109"/>
      <c r="BB109"/>
      <c r="BC109"/>
      <c r="BD109"/>
      <c r="BE109"/>
      <c r="BF109" s="16"/>
      <c r="BG109" s="16"/>
      <c r="BH109" s="12"/>
      <c r="BI109" s="12"/>
      <c r="BJ109" s="12"/>
    </row>
    <row r="110" spans="1:62" x14ac:dyDescent="0.25">
      <c r="A110"/>
      <c r="B110"/>
      <c r="C110"/>
      <c r="D110"/>
      <c r="E110"/>
      <c r="F110" s="16"/>
      <c r="G110" s="16"/>
      <c r="BA110"/>
      <c r="BB110"/>
      <c r="BC110"/>
      <c r="BD110"/>
      <c r="BE110"/>
      <c r="BF110" s="16"/>
      <c r="BG110" s="16"/>
      <c r="BH110" s="12"/>
      <c r="BI110" s="12"/>
      <c r="BJ110" s="12"/>
    </row>
    <row r="111" spans="1:62" x14ac:dyDescent="0.25">
      <c r="A111"/>
      <c r="B111"/>
      <c r="C111"/>
      <c r="D111"/>
      <c r="E111"/>
      <c r="F111" s="16"/>
      <c r="G111" s="16"/>
      <c r="BA111"/>
      <c r="BB111"/>
      <c r="BC111"/>
      <c r="BD111"/>
      <c r="BE111"/>
      <c r="BF111" s="16"/>
      <c r="BG111" s="16"/>
      <c r="BH111" s="12"/>
      <c r="BI111" s="12"/>
      <c r="BJ111" s="12"/>
    </row>
    <row r="112" spans="1:62" x14ac:dyDescent="0.25">
      <c r="A112"/>
      <c r="B112"/>
      <c r="C112"/>
      <c r="D112"/>
      <c r="E112"/>
      <c r="BA112"/>
      <c r="BB112"/>
      <c r="BC112"/>
      <c r="BD112"/>
      <c r="BE112"/>
      <c r="BF112" s="29"/>
      <c r="BG112" s="29"/>
      <c r="BH112" s="12"/>
      <c r="BI112" s="12"/>
      <c r="BJ112" s="12"/>
    </row>
    <row r="113" spans="1:62" x14ac:dyDescent="0.25">
      <c r="A113"/>
      <c r="B113"/>
      <c r="C113"/>
      <c r="D113"/>
      <c r="E113"/>
      <c r="BA113"/>
      <c r="BB113"/>
      <c r="BC113"/>
      <c r="BD113"/>
      <c r="BE113"/>
      <c r="BF113" s="29"/>
      <c r="BG113" s="29"/>
      <c r="BH113" s="12"/>
      <c r="BI113" s="12"/>
      <c r="BJ113" s="12"/>
    </row>
    <row r="114" spans="1:62" x14ac:dyDescent="0.25">
      <c r="A114"/>
      <c r="B114"/>
      <c r="C114"/>
      <c r="D114"/>
      <c r="E114"/>
      <c r="F114" s="16"/>
      <c r="BA114"/>
      <c r="BB114"/>
      <c r="BC114"/>
      <c r="BD114"/>
      <c r="BE114"/>
      <c r="BF114" s="16"/>
      <c r="BG114" s="29"/>
      <c r="BH114" s="12"/>
      <c r="BI114" s="12"/>
      <c r="BJ114" s="12"/>
    </row>
    <row r="115" spans="1:62" x14ac:dyDescent="0.25">
      <c r="A115"/>
      <c r="B115"/>
      <c r="C115"/>
      <c r="D115"/>
      <c r="E115"/>
      <c r="F115" s="16"/>
      <c r="G115" s="16"/>
      <c r="BA115"/>
      <c r="BB115"/>
      <c r="BC115"/>
      <c r="BD115"/>
      <c r="BE115"/>
      <c r="BF115" s="16"/>
      <c r="BG115" s="16"/>
      <c r="BH115" s="12"/>
      <c r="BI115" s="12"/>
      <c r="BJ115" s="12"/>
    </row>
    <row r="116" spans="1:62" x14ac:dyDescent="0.25">
      <c r="A116"/>
      <c r="B116"/>
      <c r="C116"/>
      <c r="D116"/>
      <c r="E116"/>
      <c r="F116" s="16"/>
      <c r="G116" s="16"/>
      <c r="BA116"/>
      <c r="BB116"/>
      <c r="BC116"/>
      <c r="BD116"/>
      <c r="BE116"/>
      <c r="BF116" s="16"/>
      <c r="BG116" s="16"/>
      <c r="BH116" s="12"/>
      <c r="BI116" s="12"/>
      <c r="BJ116" s="12"/>
    </row>
    <row r="117" spans="1:62" x14ac:dyDescent="0.25">
      <c r="A117"/>
      <c r="B117"/>
      <c r="C117"/>
      <c r="D117"/>
      <c r="E117"/>
      <c r="BA117"/>
      <c r="BB117"/>
      <c r="BC117"/>
      <c r="BD117"/>
      <c r="BE117"/>
      <c r="BF117" s="29"/>
      <c r="BG117" s="29"/>
      <c r="BH117" s="12"/>
      <c r="BI117" s="12"/>
      <c r="BJ117" s="12"/>
    </row>
    <row r="118" spans="1:62" x14ac:dyDescent="0.25">
      <c r="A118"/>
      <c r="B118"/>
      <c r="C118"/>
      <c r="D118"/>
      <c r="E118"/>
      <c r="F118" s="16"/>
      <c r="G118" s="16"/>
      <c r="BA118"/>
      <c r="BB118"/>
      <c r="BC118"/>
      <c r="BD118"/>
      <c r="BE118"/>
      <c r="BF118" s="16"/>
      <c r="BG118" s="16"/>
      <c r="BH118" s="12"/>
      <c r="BI118" s="12"/>
      <c r="BJ118" s="12"/>
    </row>
    <row r="119" spans="1:62" x14ac:dyDescent="0.25">
      <c r="A119"/>
      <c r="B119"/>
      <c r="C119"/>
      <c r="D119"/>
      <c r="E119"/>
      <c r="BA119"/>
      <c r="BB119"/>
      <c r="BC119"/>
      <c r="BD119"/>
      <c r="BE119"/>
      <c r="BF119" s="29"/>
      <c r="BG119" s="29"/>
      <c r="BH119" s="12"/>
      <c r="BI119" s="12"/>
      <c r="BJ119" s="12"/>
    </row>
    <row r="120" spans="1:62" x14ac:dyDescent="0.25">
      <c r="A120"/>
      <c r="B120"/>
      <c r="C120"/>
      <c r="D120"/>
      <c r="E120"/>
      <c r="F120" s="16"/>
      <c r="G120" s="16"/>
      <c r="BA120"/>
      <c r="BB120"/>
      <c r="BC120"/>
      <c r="BD120"/>
      <c r="BE120"/>
      <c r="BF120" s="16"/>
      <c r="BG120" s="16"/>
      <c r="BH120" s="12"/>
      <c r="BI120" s="12"/>
      <c r="BJ120" s="12"/>
    </row>
    <row r="121" spans="1:62" x14ac:dyDescent="0.25">
      <c r="A121"/>
      <c r="B121"/>
      <c r="C121"/>
      <c r="D121"/>
      <c r="E121"/>
      <c r="BA121"/>
      <c r="BB121"/>
      <c r="BC121"/>
      <c r="BD121"/>
      <c r="BE121"/>
      <c r="BF121" s="29"/>
      <c r="BG121" s="29"/>
      <c r="BH121" s="12"/>
      <c r="BI121" s="12"/>
      <c r="BJ121" s="12"/>
    </row>
    <row r="122" spans="1:62" x14ac:dyDescent="0.25">
      <c r="A122"/>
      <c r="B122"/>
      <c r="C122"/>
      <c r="D122"/>
      <c r="E122"/>
      <c r="BA122"/>
      <c r="BB122"/>
      <c r="BC122"/>
      <c r="BD122"/>
      <c r="BE122"/>
      <c r="BF122" s="29"/>
      <c r="BG122" s="29"/>
      <c r="BH122" s="12"/>
      <c r="BI122" s="12"/>
      <c r="BJ122" s="12"/>
    </row>
    <row r="123" spans="1:62" x14ac:dyDescent="0.25">
      <c r="A123"/>
      <c r="B123"/>
      <c r="C123"/>
      <c r="D123"/>
      <c r="E123"/>
      <c r="BA123"/>
      <c r="BB123"/>
      <c r="BC123"/>
      <c r="BD123"/>
      <c r="BE123"/>
      <c r="BF123" s="29"/>
      <c r="BG123" s="29"/>
      <c r="BH123" s="12"/>
      <c r="BI123" s="12"/>
      <c r="BJ123" s="12"/>
    </row>
    <row r="124" spans="1:62" x14ac:dyDescent="0.25">
      <c r="A124"/>
      <c r="B124"/>
      <c r="C124"/>
      <c r="D124"/>
      <c r="E124"/>
      <c r="F124" s="16"/>
      <c r="G124" s="16"/>
      <c r="BA124"/>
      <c r="BB124"/>
      <c r="BC124"/>
      <c r="BD124"/>
      <c r="BE124"/>
      <c r="BF124" s="16"/>
      <c r="BG124" s="16"/>
      <c r="BH124" s="12"/>
      <c r="BI124" s="12"/>
      <c r="BJ124" s="12"/>
    </row>
    <row r="125" spans="1:62" x14ac:dyDescent="0.25">
      <c r="A125"/>
      <c r="B125"/>
      <c r="C125"/>
      <c r="D125"/>
      <c r="E125"/>
      <c r="BA125"/>
      <c r="BB125"/>
      <c r="BC125"/>
      <c r="BD125"/>
      <c r="BE125"/>
      <c r="BF125" s="29"/>
      <c r="BG125" s="29"/>
      <c r="BH125" s="12"/>
      <c r="BI125" s="12"/>
      <c r="BJ125" s="12"/>
    </row>
    <row r="126" spans="1:62" x14ac:dyDescent="0.25">
      <c r="A126"/>
      <c r="B126"/>
      <c r="C126"/>
      <c r="D126"/>
      <c r="E126"/>
      <c r="F126" s="16"/>
      <c r="BA126"/>
      <c r="BB126"/>
      <c r="BC126"/>
      <c r="BD126"/>
      <c r="BE126"/>
      <c r="BF126" s="16"/>
      <c r="BG126" s="29"/>
      <c r="BH126" s="12"/>
      <c r="BI126" s="12"/>
      <c r="BJ126" s="12"/>
    </row>
    <row r="127" spans="1:62" x14ac:dyDescent="0.25">
      <c r="A127"/>
      <c r="B127"/>
      <c r="C127"/>
      <c r="D127"/>
      <c r="E127"/>
      <c r="F127" s="16"/>
      <c r="G127" s="16"/>
      <c r="BA127"/>
      <c r="BB127"/>
      <c r="BC127"/>
      <c r="BD127"/>
      <c r="BE127"/>
      <c r="BF127" s="16"/>
      <c r="BG127" s="16"/>
      <c r="BH127" s="12"/>
      <c r="BI127" s="12"/>
      <c r="BJ127" s="12"/>
    </row>
    <row r="128" spans="1:62" x14ac:dyDescent="0.25">
      <c r="A128"/>
      <c r="B128"/>
      <c r="C128"/>
      <c r="D128"/>
      <c r="E128"/>
      <c r="BA128"/>
      <c r="BB128"/>
      <c r="BC128"/>
      <c r="BD128"/>
      <c r="BE128"/>
      <c r="BF128" s="29"/>
      <c r="BG128" s="29"/>
      <c r="BH128" s="12"/>
      <c r="BI128" s="12"/>
      <c r="BJ128" s="12"/>
    </row>
    <row r="129" spans="1:62" x14ac:dyDescent="0.25">
      <c r="A129"/>
      <c r="B129"/>
      <c r="C129"/>
      <c r="D129"/>
      <c r="E129"/>
      <c r="F129"/>
      <c r="BA129"/>
      <c r="BB129"/>
      <c r="BC129"/>
      <c r="BD129"/>
      <c r="BE129"/>
      <c r="BF129"/>
      <c r="BG129" s="29"/>
      <c r="BH129" s="12"/>
      <c r="BI129" s="12"/>
      <c r="BJ129" s="12"/>
    </row>
    <row r="130" spans="1:62" x14ac:dyDescent="0.25">
      <c r="A130"/>
      <c r="B130"/>
      <c r="C130"/>
      <c r="D130"/>
      <c r="E130"/>
      <c r="F130"/>
      <c r="BA130"/>
      <c r="BB130"/>
      <c r="BC130"/>
      <c r="BD130"/>
      <c r="BE130"/>
      <c r="BF130"/>
      <c r="BG130" s="29"/>
      <c r="BH130" s="12"/>
      <c r="BI130" s="12"/>
      <c r="BJ130" s="12"/>
    </row>
    <row r="131" spans="1:62" x14ac:dyDescent="0.25">
      <c r="A131"/>
      <c r="B131"/>
      <c r="C131"/>
      <c r="D131"/>
      <c r="E131"/>
      <c r="F131"/>
      <c r="BA131"/>
      <c r="BB131"/>
      <c r="BC131"/>
      <c r="BD131"/>
      <c r="BE131"/>
      <c r="BF131"/>
      <c r="BG131" s="29"/>
      <c r="BH131" s="12"/>
      <c r="BI131" s="12"/>
      <c r="BJ131" s="12"/>
    </row>
    <row r="132" spans="1:62" x14ac:dyDescent="0.25">
      <c r="A132"/>
      <c r="B132"/>
      <c r="C132"/>
      <c r="D132"/>
      <c r="E132"/>
      <c r="F132"/>
      <c r="BA132"/>
      <c r="BB132"/>
      <c r="BC132"/>
      <c r="BD132"/>
      <c r="BE132"/>
      <c r="BF132"/>
      <c r="BG132" s="29"/>
      <c r="BH132" s="12"/>
      <c r="BI132" s="12"/>
      <c r="BJ132" s="12"/>
    </row>
    <row r="133" spans="1:62" x14ac:dyDescent="0.25">
      <c r="A133"/>
      <c r="B133"/>
      <c r="C133"/>
      <c r="D133"/>
      <c r="E133"/>
      <c r="BA133"/>
      <c r="BB133"/>
      <c r="BC133"/>
      <c r="BD133"/>
      <c r="BE133"/>
      <c r="BF133" s="29"/>
      <c r="BG133" s="29"/>
      <c r="BH133" s="12"/>
      <c r="BI133" s="12"/>
      <c r="BJ133" s="12"/>
    </row>
    <row r="134" spans="1:62" x14ac:dyDescent="0.25">
      <c r="A134"/>
      <c r="B134"/>
      <c r="C134"/>
      <c r="D134"/>
      <c r="E134"/>
      <c r="BA134"/>
      <c r="BB134"/>
      <c r="BC134"/>
      <c r="BD134"/>
      <c r="BE134"/>
      <c r="BF134" s="29"/>
      <c r="BG134" s="29"/>
      <c r="BH134" s="12"/>
      <c r="BI134" s="12"/>
      <c r="BJ134" s="12"/>
    </row>
    <row r="135" spans="1:62" x14ac:dyDescent="0.25">
      <c r="A135"/>
      <c r="B135"/>
      <c r="C135"/>
      <c r="D135"/>
      <c r="E135"/>
      <c r="BA135"/>
      <c r="BB135"/>
      <c r="BC135"/>
      <c r="BD135"/>
      <c r="BE135"/>
      <c r="BF135" s="29"/>
      <c r="BG135" s="29"/>
      <c r="BH135" s="12"/>
      <c r="BI135" s="12"/>
      <c r="BJ135" s="12"/>
    </row>
    <row r="136" spans="1:62" x14ac:dyDescent="0.25">
      <c r="A136"/>
      <c r="B136"/>
      <c r="C136"/>
      <c r="D136"/>
      <c r="E136"/>
      <c r="BA136"/>
      <c r="BB136"/>
      <c r="BC136"/>
      <c r="BD136"/>
      <c r="BE136"/>
      <c r="BF136" s="29"/>
      <c r="BG136" s="29"/>
      <c r="BH136" s="12"/>
      <c r="BI136" s="12"/>
      <c r="BJ136" s="12"/>
    </row>
    <row r="137" spans="1:62" x14ac:dyDescent="0.25">
      <c r="A137"/>
      <c r="B137"/>
      <c r="C137"/>
      <c r="D137"/>
      <c r="E137"/>
      <c r="BA137"/>
      <c r="BB137"/>
      <c r="BC137"/>
      <c r="BD137"/>
      <c r="BE137"/>
      <c r="BF137" s="29"/>
      <c r="BG137" s="29"/>
      <c r="BH137" s="12"/>
      <c r="BI137" s="12"/>
      <c r="BJ137" s="12"/>
    </row>
    <row r="138" spans="1:62" x14ac:dyDescent="0.25">
      <c r="A138"/>
      <c r="B138"/>
      <c r="C138"/>
      <c r="D138"/>
      <c r="E138"/>
      <c r="F138" s="16"/>
      <c r="G138" s="16"/>
      <c r="P138" s="28"/>
      <c r="Q138" s="28"/>
      <c r="R138" s="28"/>
      <c r="BA138"/>
      <c r="BB138"/>
      <c r="BC138"/>
      <c r="BD138"/>
      <c r="BE138"/>
      <c r="BF138" s="16"/>
      <c r="BG138" s="16"/>
      <c r="BH138" s="12"/>
      <c r="BI138" s="12"/>
      <c r="BJ138" s="12"/>
    </row>
    <row r="139" spans="1:62" x14ac:dyDescent="0.25">
      <c r="A139"/>
      <c r="B139"/>
      <c r="C139"/>
      <c r="D139"/>
      <c r="E139"/>
      <c r="F139" s="16"/>
      <c r="BA139"/>
      <c r="BB139"/>
      <c r="BC139"/>
      <c r="BD139"/>
      <c r="BE139"/>
      <c r="BF139" s="16"/>
      <c r="BG139" s="29"/>
      <c r="BH139" s="12"/>
      <c r="BI139" s="12"/>
      <c r="BJ139" s="12"/>
    </row>
    <row r="140" spans="1:62" x14ac:dyDescent="0.25">
      <c r="A140"/>
      <c r="B140"/>
      <c r="C140"/>
      <c r="D140"/>
      <c r="E140"/>
      <c r="BA140"/>
      <c r="BB140"/>
      <c r="BC140"/>
      <c r="BD140"/>
      <c r="BE140"/>
      <c r="BF140" s="29"/>
      <c r="BG140" s="29"/>
      <c r="BH140" s="12"/>
      <c r="BI140" s="12"/>
      <c r="BJ140" s="12"/>
    </row>
    <row r="141" spans="1:62" x14ac:dyDescent="0.25">
      <c r="A141"/>
      <c r="B141"/>
      <c r="C141"/>
      <c r="D141"/>
      <c r="E141"/>
      <c r="BA141"/>
      <c r="BB141"/>
      <c r="BC141"/>
      <c r="BD141"/>
      <c r="BE141"/>
      <c r="BF141" s="29"/>
      <c r="BG141" s="29"/>
      <c r="BH141" s="12"/>
      <c r="BI141" s="12"/>
      <c r="BJ141" s="12"/>
    </row>
    <row r="142" spans="1:62" x14ac:dyDescent="0.25">
      <c r="A142"/>
      <c r="B142"/>
      <c r="C142"/>
      <c r="D142"/>
      <c r="E142"/>
      <c r="F142" s="16"/>
      <c r="BA142"/>
      <c r="BB142"/>
      <c r="BC142"/>
      <c r="BD142"/>
      <c r="BE142"/>
      <c r="BF142" s="16"/>
      <c r="BG142" s="29"/>
      <c r="BH142" s="12"/>
      <c r="BI142" s="12"/>
      <c r="BJ142" s="12"/>
    </row>
    <row r="143" spans="1:62" x14ac:dyDescent="0.25">
      <c r="A143"/>
      <c r="B143"/>
      <c r="C143"/>
      <c r="D143"/>
      <c r="E143"/>
      <c r="BA143"/>
      <c r="BB143"/>
      <c r="BC143"/>
      <c r="BD143"/>
      <c r="BE143"/>
      <c r="BF143" s="29"/>
      <c r="BG143" s="29"/>
      <c r="BH143" s="12"/>
      <c r="BI143" s="12"/>
      <c r="BJ143" s="12"/>
    </row>
    <row r="144" spans="1:62" x14ac:dyDescent="0.25">
      <c r="A144"/>
      <c r="B144"/>
      <c r="C144"/>
      <c r="D144"/>
      <c r="E144"/>
      <c r="BA144"/>
      <c r="BB144"/>
      <c r="BC144"/>
      <c r="BD144"/>
      <c r="BE144"/>
      <c r="BF144" s="29"/>
      <c r="BG144" s="29"/>
      <c r="BH144" s="12"/>
      <c r="BI144" s="12"/>
      <c r="BJ144" s="12"/>
    </row>
    <row r="145" spans="1:62" ht="15.75" customHeight="1" x14ac:dyDescent="0.25">
      <c r="A145"/>
      <c r="B145"/>
      <c r="C145"/>
      <c r="D145"/>
      <c r="E145"/>
      <c r="F145" s="16"/>
      <c r="G145" s="16"/>
      <c r="BA145"/>
      <c r="BB145"/>
      <c r="BC145"/>
      <c r="BD145"/>
      <c r="BE145"/>
      <c r="BF145" s="16"/>
      <c r="BG145" s="16"/>
      <c r="BH145" s="12"/>
      <c r="BI145" s="12"/>
      <c r="BJ145" s="12"/>
    </row>
    <row r="146" spans="1:62" x14ac:dyDescent="0.25">
      <c r="A146"/>
      <c r="B146"/>
      <c r="C146"/>
      <c r="D146"/>
      <c r="E146"/>
      <c r="BA146"/>
      <c r="BB146"/>
      <c r="BC146"/>
      <c r="BD146"/>
      <c r="BE146"/>
      <c r="BF146" s="29"/>
      <c r="BG146" s="29"/>
      <c r="BH146" s="12"/>
      <c r="BI146" s="12"/>
      <c r="BJ146" s="12"/>
    </row>
    <row r="147" spans="1:62" x14ac:dyDescent="0.25">
      <c r="A147"/>
      <c r="B147"/>
      <c r="C147"/>
      <c r="D147"/>
      <c r="E147"/>
      <c r="BA147"/>
      <c r="BB147"/>
      <c r="BC147"/>
      <c r="BD147"/>
      <c r="BE147"/>
      <c r="BF147" s="29"/>
      <c r="BG147" s="29"/>
      <c r="BH147" s="12"/>
      <c r="BI147" s="12"/>
      <c r="BJ147" s="12"/>
    </row>
    <row r="148" spans="1:62" x14ac:dyDescent="0.25">
      <c r="A148"/>
      <c r="B148"/>
      <c r="C148"/>
      <c r="D148"/>
      <c r="E148"/>
      <c r="BA148"/>
      <c r="BB148"/>
      <c r="BC148"/>
      <c r="BD148"/>
      <c r="BE148"/>
      <c r="BF148" s="29"/>
      <c r="BG148" s="29"/>
      <c r="BH148" s="12"/>
      <c r="BI148" s="12"/>
      <c r="BJ148" s="12"/>
    </row>
    <row r="149" spans="1:62" x14ac:dyDescent="0.25">
      <c r="A149"/>
      <c r="B149"/>
      <c r="C149"/>
      <c r="D149"/>
      <c r="E149"/>
      <c r="BA149"/>
      <c r="BB149"/>
      <c r="BC149"/>
      <c r="BD149"/>
      <c r="BE149"/>
      <c r="BF149" s="29"/>
      <c r="BG149" s="29"/>
      <c r="BH149" s="12"/>
      <c r="BI149" s="12"/>
      <c r="BJ149" s="12"/>
    </row>
    <row r="150" spans="1:62" x14ac:dyDescent="0.25">
      <c r="A150"/>
      <c r="B150"/>
      <c r="C150"/>
      <c r="D150"/>
      <c r="E150"/>
      <c r="BA150"/>
      <c r="BB150"/>
      <c r="BC150"/>
      <c r="BD150"/>
      <c r="BE150"/>
      <c r="BF150" s="29"/>
      <c r="BG150" s="29"/>
      <c r="BH150" s="12"/>
      <c r="BI150" s="12"/>
      <c r="BJ150" s="12"/>
    </row>
    <row r="151" spans="1:62" x14ac:dyDescent="0.25">
      <c r="A151"/>
      <c r="B151"/>
      <c r="C151"/>
      <c r="D151"/>
      <c r="E151"/>
      <c r="BA151"/>
      <c r="BB151"/>
      <c r="BC151"/>
      <c r="BD151"/>
      <c r="BE151"/>
      <c r="BF151" s="29"/>
      <c r="BG151" s="29"/>
      <c r="BH151" s="12"/>
      <c r="BI151" s="12"/>
      <c r="BJ151" s="12"/>
    </row>
    <row r="152" spans="1:62" x14ac:dyDescent="0.25">
      <c r="A152"/>
      <c r="B152"/>
      <c r="C152"/>
      <c r="D152"/>
      <c r="E152"/>
      <c r="F152" s="16"/>
      <c r="G152" s="16"/>
      <c r="BA152"/>
      <c r="BB152"/>
      <c r="BC152"/>
      <c r="BD152"/>
      <c r="BE152"/>
      <c r="BF152" s="16"/>
      <c r="BG152" s="16"/>
      <c r="BH152" s="12"/>
      <c r="BI152" s="12"/>
      <c r="BJ152" s="12"/>
    </row>
    <row r="153" spans="1:62" x14ac:dyDescent="0.25">
      <c r="A153"/>
      <c r="B153"/>
      <c r="C153"/>
      <c r="D153"/>
      <c r="E153"/>
      <c r="BA153"/>
      <c r="BB153"/>
      <c r="BC153"/>
      <c r="BD153"/>
      <c r="BE153"/>
      <c r="BF153" s="29"/>
      <c r="BG153" s="29"/>
      <c r="BH153" s="12"/>
      <c r="BI153" s="12"/>
      <c r="BJ153" s="12"/>
    </row>
    <row r="154" spans="1:62" x14ac:dyDescent="0.25">
      <c r="A154"/>
      <c r="B154"/>
      <c r="C154"/>
      <c r="D154"/>
      <c r="E154"/>
      <c r="BA154"/>
      <c r="BB154"/>
      <c r="BC154"/>
      <c r="BD154"/>
      <c r="BE154"/>
      <c r="BF154" s="29"/>
      <c r="BG154" s="29"/>
      <c r="BH154" s="12"/>
      <c r="BI154" s="12"/>
      <c r="BJ154" s="12"/>
    </row>
    <row r="155" spans="1:62" x14ac:dyDescent="0.25">
      <c r="A155"/>
      <c r="B155"/>
      <c r="C155"/>
      <c r="D155"/>
      <c r="E155"/>
      <c r="BA155"/>
      <c r="BB155"/>
      <c r="BC155"/>
      <c r="BD155"/>
      <c r="BE155"/>
      <c r="BF155" s="29"/>
      <c r="BG155" s="29"/>
      <c r="BH155" s="12"/>
      <c r="BI155" s="12"/>
      <c r="BJ155" s="12"/>
    </row>
    <row r="156" spans="1:62" x14ac:dyDescent="0.25">
      <c r="A156"/>
      <c r="B156"/>
      <c r="C156"/>
      <c r="D156"/>
      <c r="E156"/>
      <c r="BA156"/>
      <c r="BB156"/>
      <c r="BC156"/>
      <c r="BD156"/>
      <c r="BE156"/>
      <c r="BF156" s="29"/>
      <c r="BG156" s="29"/>
      <c r="BH156" s="12"/>
      <c r="BI156" s="12"/>
      <c r="BJ156" s="12"/>
    </row>
    <row r="157" spans="1:62" x14ac:dyDescent="0.25">
      <c r="A157"/>
      <c r="B157"/>
      <c r="C157"/>
      <c r="D157"/>
      <c r="E157"/>
      <c r="F157" s="16"/>
      <c r="G157" s="16"/>
      <c r="BA157"/>
      <c r="BB157"/>
      <c r="BC157"/>
      <c r="BD157"/>
      <c r="BE157"/>
      <c r="BF157" s="16"/>
      <c r="BG157" s="16"/>
      <c r="BH157" s="12"/>
      <c r="BI157" s="12"/>
      <c r="BJ157" s="12"/>
    </row>
    <row r="158" spans="1:62" x14ac:dyDescent="0.25">
      <c r="A158"/>
      <c r="B158"/>
      <c r="C158"/>
      <c r="D158"/>
      <c r="E158"/>
      <c r="F158" s="16"/>
      <c r="BA158"/>
      <c r="BB158"/>
      <c r="BC158"/>
      <c r="BD158"/>
      <c r="BE158"/>
      <c r="BF158" s="16"/>
      <c r="BG158" s="29"/>
      <c r="BH158" s="12"/>
      <c r="BI158" s="12"/>
      <c r="BJ158" s="12"/>
    </row>
    <row r="159" spans="1:62" x14ac:dyDescent="0.25">
      <c r="A159"/>
      <c r="B159"/>
      <c r="C159"/>
      <c r="D159"/>
      <c r="E159"/>
      <c r="F159" s="16"/>
      <c r="G159" s="16"/>
      <c r="BA159"/>
      <c r="BB159"/>
      <c r="BC159"/>
      <c r="BD159"/>
      <c r="BE159"/>
      <c r="BF159" s="16"/>
      <c r="BG159" s="16"/>
      <c r="BH159" s="12"/>
      <c r="BI159" s="12"/>
      <c r="BJ159" s="12"/>
    </row>
    <row r="160" spans="1:62" x14ac:dyDescent="0.25">
      <c r="A160"/>
      <c r="B160"/>
      <c r="C160"/>
      <c r="D160"/>
      <c r="E160"/>
      <c r="F160" s="16"/>
      <c r="G160" s="16"/>
      <c r="BA160"/>
      <c r="BB160"/>
      <c r="BC160"/>
      <c r="BD160"/>
      <c r="BE160"/>
      <c r="BF160" s="16"/>
      <c r="BG160" s="16"/>
      <c r="BH160" s="12"/>
      <c r="BI160" s="12"/>
      <c r="BJ160" s="12"/>
    </row>
    <row r="161" spans="1:62" x14ac:dyDescent="0.25">
      <c r="A161"/>
      <c r="B161"/>
      <c r="C161"/>
      <c r="D161"/>
      <c r="E161"/>
      <c r="BA161"/>
      <c r="BB161"/>
      <c r="BC161"/>
      <c r="BD161"/>
      <c r="BE161"/>
      <c r="BF161" s="29"/>
      <c r="BG161" s="29"/>
      <c r="BH161" s="12"/>
      <c r="BI161" s="12"/>
      <c r="BJ161" s="12"/>
    </row>
    <row r="162" spans="1:62" x14ac:dyDescent="0.25">
      <c r="A162"/>
      <c r="B162"/>
      <c r="C162"/>
      <c r="D162"/>
      <c r="E162"/>
      <c r="BA162"/>
      <c r="BB162"/>
      <c r="BC162"/>
      <c r="BD162"/>
      <c r="BE162"/>
      <c r="BF162" s="29"/>
      <c r="BG162" s="29"/>
      <c r="BH162" s="12"/>
      <c r="BI162" s="12"/>
      <c r="BJ162" s="12"/>
    </row>
    <row r="163" spans="1:62" x14ac:dyDescent="0.25">
      <c r="A163"/>
      <c r="B163"/>
      <c r="C163"/>
      <c r="D163"/>
      <c r="E163"/>
      <c r="BA163"/>
      <c r="BB163"/>
      <c r="BC163"/>
      <c r="BD163"/>
      <c r="BE163"/>
      <c r="BF163" s="29"/>
      <c r="BG163" s="29"/>
      <c r="BH163" s="12"/>
      <c r="BI163" s="12"/>
      <c r="BJ163" s="12"/>
    </row>
    <row r="164" spans="1:62" x14ac:dyDescent="0.25">
      <c r="A164"/>
      <c r="B164"/>
      <c r="C164"/>
      <c r="D164"/>
      <c r="E164"/>
      <c r="F164" s="16"/>
      <c r="BA164"/>
      <c r="BB164"/>
      <c r="BC164"/>
      <c r="BD164"/>
      <c r="BE164"/>
      <c r="BF164" s="16"/>
      <c r="BG164" s="29"/>
      <c r="BH164" s="12"/>
      <c r="BI164" s="12"/>
      <c r="BJ164" s="12"/>
    </row>
    <row r="165" spans="1:62" x14ac:dyDescent="0.25">
      <c r="A165"/>
      <c r="B165"/>
      <c r="C165"/>
      <c r="D165"/>
      <c r="E165"/>
      <c r="BA165"/>
      <c r="BB165"/>
      <c r="BC165"/>
      <c r="BD165"/>
      <c r="BE165"/>
      <c r="BF165" s="29"/>
      <c r="BG165" s="29"/>
      <c r="BH165" s="12"/>
      <c r="BI165" s="12"/>
      <c r="BJ165" s="12"/>
    </row>
    <row r="166" spans="1:62" x14ac:dyDescent="0.25">
      <c r="A166"/>
      <c r="B166"/>
      <c r="C166"/>
      <c r="D166"/>
      <c r="E166"/>
      <c r="BA166"/>
      <c r="BB166"/>
      <c r="BC166"/>
      <c r="BD166"/>
      <c r="BE166"/>
      <c r="BF166" s="29"/>
      <c r="BG166" s="29"/>
      <c r="BH166" s="12"/>
      <c r="BI166" s="12"/>
      <c r="BJ166" s="12"/>
    </row>
    <row r="167" spans="1:62" x14ac:dyDescent="0.25">
      <c r="A167"/>
      <c r="B167"/>
      <c r="C167"/>
      <c r="D167"/>
      <c r="E167"/>
      <c r="F167" s="16"/>
      <c r="G167" s="16"/>
      <c r="BA167"/>
      <c r="BB167"/>
      <c r="BC167"/>
      <c r="BD167"/>
      <c r="BE167"/>
      <c r="BF167" s="16"/>
      <c r="BG167" s="16"/>
      <c r="BH167" s="12"/>
      <c r="BI167" s="12"/>
      <c r="BJ167" s="12"/>
    </row>
    <row r="168" spans="1:62" x14ac:dyDescent="0.25">
      <c r="A168"/>
      <c r="B168"/>
      <c r="C168"/>
      <c r="D168"/>
      <c r="E168"/>
      <c r="F168" s="16"/>
      <c r="BA168"/>
      <c r="BB168"/>
      <c r="BC168"/>
      <c r="BD168"/>
      <c r="BE168"/>
      <c r="BF168" s="16"/>
      <c r="BG168" s="29"/>
      <c r="BH168" s="12"/>
      <c r="BI168" s="12"/>
      <c r="BJ168" s="12"/>
    </row>
    <row r="169" spans="1:62" x14ac:dyDescent="0.25">
      <c r="A169"/>
      <c r="B169"/>
      <c r="C169"/>
      <c r="D169"/>
      <c r="E169"/>
      <c r="BA169"/>
      <c r="BB169"/>
      <c r="BC169"/>
      <c r="BD169"/>
      <c r="BE169"/>
      <c r="BF169" s="29"/>
      <c r="BG169" s="29"/>
      <c r="BH169" s="12"/>
      <c r="BI169" s="12"/>
      <c r="BJ169" s="12"/>
    </row>
    <row r="170" spans="1:62" x14ac:dyDescent="0.25">
      <c r="A170"/>
      <c r="B170"/>
      <c r="C170"/>
      <c r="D170"/>
      <c r="E170"/>
      <c r="BA170"/>
      <c r="BB170"/>
      <c r="BC170"/>
      <c r="BD170"/>
      <c r="BE170"/>
      <c r="BF170" s="29"/>
      <c r="BG170" s="29"/>
      <c r="BH170" s="12"/>
      <c r="BI170" s="12"/>
      <c r="BJ170" s="12"/>
    </row>
    <row r="171" spans="1:62" x14ac:dyDescent="0.25">
      <c r="A171"/>
      <c r="B171"/>
      <c r="C171"/>
      <c r="D171"/>
      <c r="E171"/>
      <c r="F171" s="16"/>
      <c r="G171" s="16"/>
      <c r="P171" s="28"/>
      <c r="Q171" s="28"/>
      <c r="R171" s="28"/>
      <c r="BA171"/>
      <c r="BB171"/>
      <c r="BC171"/>
      <c r="BD171"/>
      <c r="BE171"/>
      <c r="BF171" s="16"/>
      <c r="BG171" s="16"/>
      <c r="BH171" s="12"/>
      <c r="BI171" s="12"/>
      <c r="BJ171" s="12"/>
    </row>
    <row r="172" spans="1:62" x14ac:dyDescent="0.25">
      <c r="A172"/>
      <c r="B172"/>
      <c r="C172"/>
      <c r="D172"/>
      <c r="E172"/>
      <c r="BA172"/>
      <c r="BB172"/>
      <c r="BC172"/>
      <c r="BD172"/>
      <c r="BE172"/>
      <c r="BF172" s="29"/>
      <c r="BG172" s="29"/>
      <c r="BH172" s="12"/>
      <c r="BI172" s="12"/>
      <c r="BJ172" s="12"/>
    </row>
    <row r="173" spans="1:62" x14ac:dyDescent="0.25">
      <c r="A173"/>
      <c r="B173"/>
      <c r="C173"/>
      <c r="D173"/>
      <c r="E173"/>
      <c r="F173" s="16"/>
      <c r="G173" s="16"/>
      <c r="BA173"/>
      <c r="BB173"/>
      <c r="BC173"/>
      <c r="BD173"/>
      <c r="BE173"/>
      <c r="BF173" s="16"/>
      <c r="BG173" s="16"/>
      <c r="BH173" s="12"/>
      <c r="BI173" s="12"/>
      <c r="BJ173" s="12"/>
    </row>
    <row r="174" spans="1:62" x14ac:dyDescent="0.25">
      <c r="A174"/>
      <c r="B174"/>
      <c r="C174"/>
      <c r="D174"/>
      <c r="E174"/>
      <c r="BA174"/>
      <c r="BB174"/>
      <c r="BC174"/>
      <c r="BD174"/>
      <c r="BE174"/>
      <c r="BF174" s="29"/>
      <c r="BG174" s="29"/>
      <c r="BH174" s="12"/>
      <c r="BI174" s="12"/>
      <c r="BJ174" s="12"/>
    </row>
    <row r="175" spans="1:62" x14ac:dyDescent="0.25">
      <c r="A175"/>
      <c r="B175"/>
      <c r="C175"/>
      <c r="D175"/>
      <c r="E175"/>
      <c r="BA175"/>
      <c r="BB175"/>
      <c r="BC175"/>
      <c r="BD175"/>
      <c r="BE175"/>
      <c r="BF175" s="29"/>
      <c r="BG175" s="29"/>
      <c r="BH175" s="12"/>
      <c r="BI175" s="12"/>
      <c r="BJ175" s="12"/>
    </row>
    <row r="176" spans="1:62" x14ac:dyDescent="0.25">
      <c r="A176"/>
      <c r="B176"/>
      <c r="C176"/>
      <c r="D176"/>
      <c r="E176"/>
      <c r="BA176"/>
      <c r="BB176"/>
      <c r="BC176"/>
      <c r="BD176"/>
      <c r="BE176"/>
      <c r="BF176" s="29"/>
      <c r="BG176" s="29"/>
      <c r="BH176" s="12"/>
      <c r="BI176" s="12"/>
      <c r="BJ176" s="12"/>
    </row>
    <row r="177" spans="1:62" x14ac:dyDescent="0.25">
      <c r="A177"/>
      <c r="B177"/>
      <c r="C177"/>
      <c r="D177"/>
      <c r="E177"/>
      <c r="BA177"/>
      <c r="BB177"/>
      <c r="BC177"/>
      <c r="BD177"/>
      <c r="BE177"/>
      <c r="BF177" s="29"/>
      <c r="BG177" s="29"/>
      <c r="BH177" s="12"/>
      <c r="BI177" s="12"/>
      <c r="BJ177" s="12"/>
    </row>
    <row r="178" spans="1:62" x14ac:dyDescent="0.25">
      <c r="A178"/>
      <c r="B178"/>
      <c r="C178"/>
      <c r="D178"/>
      <c r="E178"/>
      <c r="F178" s="16"/>
      <c r="G178" s="16"/>
      <c r="BA178"/>
      <c r="BB178"/>
      <c r="BC178"/>
      <c r="BD178"/>
      <c r="BE178"/>
      <c r="BF178" s="16"/>
      <c r="BG178" s="16"/>
      <c r="BH178" s="12"/>
      <c r="BI178" s="12"/>
      <c r="BJ178" s="12"/>
    </row>
    <row r="179" spans="1:62" x14ac:dyDescent="0.25">
      <c r="A179"/>
      <c r="B179"/>
      <c r="C179"/>
      <c r="D179"/>
      <c r="E179"/>
      <c r="F179" s="16"/>
      <c r="G179" s="16"/>
      <c r="BA179"/>
      <c r="BB179"/>
      <c r="BC179"/>
      <c r="BD179"/>
      <c r="BE179"/>
      <c r="BF179" s="16"/>
      <c r="BG179" s="16"/>
      <c r="BH179" s="12"/>
      <c r="BI179" s="12"/>
      <c r="BJ179" s="12"/>
    </row>
    <row r="180" spans="1:62" x14ac:dyDescent="0.25">
      <c r="A180"/>
      <c r="B180"/>
      <c r="C180"/>
      <c r="D180"/>
      <c r="E180"/>
      <c r="F180" s="16"/>
      <c r="BA180"/>
      <c r="BB180"/>
      <c r="BC180"/>
      <c r="BD180"/>
      <c r="BE180"/>
      <c r="BF180" s="16"/>
      <c r="BG180" s="29"/>
      <c r="BH180" s="12"/>
      <c r="BI180" s="12"/>
      <c r="BJ180" s="12"/>
    </row>
    <row r="181" spans="1:62" x14ac:dyDescent="0.25">
      <c r="A181"/>
      <c r="B181"/>
      <c r="C181"/>
      <c r="D181"/>
      <c r="E181"/>
      <c r="BA181"/>
      <c r="BB181"/>
      <c r="BC181"/>
      <c r="BD181"/>
      <c r="BE181"/>
      <c r="BF181" s="29"/>
      <c r="BG181" s="29"/>
      <c r="BH181" s="12"/>
      <c r="BI181" s="12"/>
      <c r="BJ181" s="12"/>
    </row>
    <row r="182" spans="1:62" x14ac:dyDescent="0.25">
      <c r="A182"/>
      <c r="B182"/>
      <c r="C182"/>
      <c r="D182"/>
      <c r="E182"/>
      <c r="BA182"/>
      <c r="BB182"/>
      <c r="BC182"/>
      <c r="BD182"/>
      <c r="BE182"/>
      <c r="BF182" s="29"/>
      <c r="BG182" s="29"/>
      <c r="BH182" s="12"/>
      <c r="BI182" s="12"/>
      <c r="BJ182" s="12"/>
    </row>
    <row r="183" spans="1:62" x14ac:dyDescent="0.25">
      <c r="A183"/>
      <c r="B183"/>
      <c r="C183"/>
      <c r="D183"/>
      <c r="E183"/>
      <c r="BA183"/>
      <c r="BB183"/>
      <c r="BC183"/>
      <c r="BD183"/>
      <c r="BE183"/>
      <c r="BF183" s="29"/>
      <c r="BG183" s="29"/>
      <c r="BH183" s="12"/>
      <c r="BI183" s="12"/>
      <c r="BJ183" s="12"/>
    </row>
    <row r="184" spans="1:62" x14ac:dyDescent="0.25">
      <c r="A184"/>
      <c r="B184"/>
      <c r="C184"/>
      <c r="D184"/>
      <c r="E184"/>
      <c r="F184" s="16"/>
      <c r="G184" s="16"/>
      <c r="BA184"/>
      <c r="BB184"/>
      <c r="BC184"/>
      <c r="BD184"/>
      <c r="BE184"/>
      <c r="BF184" s="16"/>
      <c r="BG184" s="16"/>
      <c r="BH184" s="12"/>
      <c r="BI184" s="12"/>
      <c r="BJ184" s="12"/>
    </row>
    <row r="185" spans="1:62" ht="15" customHeight="1" x14ac:dyDescent="0.25">
      <c r="A185"/>
      <c r="B185"/>
      <c r="C185"/>
      <c r="D185"/>
      <c r="E185"/>
      <c r="F185" s="16"/>
      <c r="BA185"/>
      <c r="BB185"/>
      <c r="BC185"/>
      <c r="BD185"/>
      <c r="BE185"/>
      <c r="BF185" s="16"/>
      <c r="BG185" s="29"/>
      <c r="BH185" s="12"/>
      <c r="BI185" s="12"/>
      <c r="BJ185" s="12"/>
    </row>
    <row r="186" spans="1:62" x14ac:dyDescent="0.25">
      <c r="A186"/>
      <c r="B186"/>
      <c r="C186"/>
      <c r="D186"/>
      <c r="E186"/>
      <c r="F186" s="16"/>
      <c r="G186" s="16"/>
      <c r="BA186"/>
      <c r="BB186"/>
      <c r="BC186"/>
      <c r="BD186"/>
      <c r="BE186"/>
      <c r="BF186" s="16"/>
      <c r="BG186" s="16"/>
      <c r="BH186" s="12"/>
      <c r="BI186" s="12"/>
      <c r="BJ186" s="12"/>
    </row>
    <row r="187" spans="1:62" x14ac:dyDescent="0.25">
      <c r="A187"/>
      <c r="B187"/>
      <c r="C187"/>
      <c r="D187"/>
      <c r="E187"/>
      <c r="F187" s="16"/>
      <c r="G187" s="16"/>
      <c r="BA187"/>
      <c r="BB187"/>
      <c r="BC187"/>
      <c r="BD187"/>
      <c r="BE187"/>
      <c r="BF187" s="16"/>
      <c r="BG187" s="16"/>
      <c r="BH187" s="12"/>
      <c r="BI187" s="12"/>
      <c r="BJ187" s="12"/>
    </row>
    <row r="188" spans="1:62" x14ac:dyDescent="0.25">
      <c r="A188"/>
      <c r="B188"/>
      <c r="C188"/>
      <c r="D188"/>
      <c r="E188"/>
      <c r="F188" s="16"/>
      <c r="G188" s="16"/>
      <c r="BA188"/>
      <c r="BB188"/>
      <c r="BC188"/>
      <c r="BD188"/>
      <c r="BE188"/>
      <c r="BF188" s="16"/>
      <c r="BG188" s="16"/>
      <c r="BH188" s="12"/>
      <c r="BI188" s="12"/>
      <c r="BJ188" s="12"/>
    </row>
    <row r="189" spans="1:62" x14ac:dyDescent="0.25">
      <c r="A189"/>
      <c r="B189"/>
      <c r="C189"/>
      <c r="D189"/>
      <c r="E189"/>
      <c r="F189" s="16"/>
      <c r="G189" s="16"/>
      <c r="BA189"/>
      <c r="BB189"/>
      <c r="BC189"/>
      <c r="BD189"/>
      <c r="BE189"/>
      <c r="BF189" s="16"/>
      <c r="BG189" s="16"/>
      <c r="BH189" s="12"/>
      <c r="BI189" s="12"/>
      <c r="BJ189" s="12"/>
    </row>
    <row r="190" spans="1:62" x14ac:dyDescent="0.25">
      <c r="A190"/>
      <c r="B190"/>
      <c r="C190"/>
      <c r="D190"/>
      <c r="E190"/>
      <c r="F190" s="16"/>
      <c r="BA190"/>
      <c r="BB190"/>
      <c r="BC190"/>
      <c r="BD190"/>
      <c r="BE190"/>
      <c r="BF190" s="16"/>
      <c r="BG190" s="29"/>
      <c r="BH190" s="12"/>
      <c r="BI190" s="12"/>
      <c r="BJ190" s="12"/>
    </row>
    <row r="191" spans="1:62" x14ac:dyDescent="0.25">
      <c r="A191"/>
      <c r="B191"/>
      <c r="C191"/>
      <c r="D191"/>
      <c r="E191"/>
      <c r="BA191"/>
      <c r="BB191"/>
      <c r="BC191"/>
      <c r="BD191"/>
      <c r="BE191"/>
      <c r="BF191" s="29"/>
      <c r="BG191" s="29"/>
      <c r="BH191" s="12"/>
      <c r="BI191" s="12"/>
      <c r="BJ191" s="12"/>
    </row>
    <row r="192" spans="1:62" x14ac:dyDescent="0.25">
      <c r="A192"/>
      <c r="B192"/>
      <c r="C192"/>
      <c r="D192"/>
      <c r="E192"/>
      <c r="F192" s="16"/>
      <c r="G192" s="16"/>
      <c r="BA192"/>
      <c r="BB192"/>
      <c r="BC192"/>
      <c r="BD192"/>
      <c r="BE192"/>
      <c r="BF192" s="16"/>
      <c r="BG192" s="16"/>
      <c r="BH192" s="12"/>
      <c r="BI192" s="12"/>
      <c r="BJ192" s="12"/>
    </row>
    <row r="193" spans="1:62" x14ac:dyDescent="0.25">
      <c r="A193"/>
      <c r="B193"/>
      <c r="C193"/>
      <c r="D193"/>
      <c r="E193"/>
      <c r="F193" s="16"/>
      <c r="G193" s="16"/>
      <c r="BA193"/>
      <c r="BB193"/>
      <c r="BC193"/>
      <c r="BD193"/>
      <c r="BE193"/>
      <c r="BF193" s="16"/>
      <c r="BG193" s="16"/>
      <c r="BH193" s="12"/>
      <c r="BI193" s="12"/>
      <c r="BJ193" s="12"/>
    </row>
    <row r="194" spans="1:62" x14ac:dyDescent="0.25">
      <c r="A194"/>
      <c r="B194"/>
      <c r="C194"/>
      <c r="D194"/>
      <c r="E194"/>
      <c r="G194" s="16"/>
      <c r="BA194"/>
      <c r="BB194"/>
      <c r="BC194"/>
      <c r="BD194"/>
      <c r="BE194"/>
      <c r="BF194" s="29"/>
      <c r="BG194" s="16"/>
      <c r="BH194" s="12"/>
      <c r="BI194" s="12"/>
      <c r="BJ194" s="12"/>
    </row>
    <row r="195" spans="1:62" x14ac:dyDescent="0.25">
      <c r="A195"/>
      <c r="B195"/>
      <c r="C195"/>
      <c r="D195"/>
      <c r="E195"/>
      <c r="BA195"/>
      <c r="BB195"/>
      <c r="BC195"/>
      <c r="BD195"/>
      <c r="BE195"/>
      <c r="BF195" s="29"/>
      <c r="BG195" s="29"/>
      <c r="BH195" s="12"/>
      <c r="BI195" s="12"/>
      <c r="BJ195" s="12"/>
    </row>
    <row r="196" spans="1:62" x14ac:dyDescent="0.25">
      <c r="A196"/>
      <c r="B196"/>
      <c r="C196"/>
      <c r="D196"/>
      <c r="E196"/>
      <c r="F196" s="16"/>
      <c r="G196" s="16"/>
      <c r="BA196"/>
      <c r="BB196"/>
      <c r="BC196"/>
      <c r="BD196"/>
      <c r="BE196"/>
      <c r="BF196" s="16"/>
      <c r="BG196" s="16"/>
      <c r="BH196" s="12"/>
      <c r="BI196" s="12"/>
      <c r="BJ196" s="12"/>
    </row>
    <row r="197" spans="1:62" x14ac:dyDescent="0.25">
      <c r="A197"/>
      <c r="B197"/>
      <c r="C197"/>
      <c r="D197"/>
      <c r="E197"/>
      <c r="BA197"/>
      <c r="BB197"/>
      <c r="BC197"/>
      <c r="BD197"/>
      <c r="BE197"/>
      <c r="BF197" s="29"/>
      <c r="BG197" s="29"/>
      <c r="BH197" s="12"/>
      <c r="BI197" s="12"/>
      <c r="BJ197" s="12"/>
    </row>
    <row r="198" spans="1:62" x14ac:dyDescent="0.25">
      <c r="A198"/>
      <c r="B198"/>
      <c r="C198"/>
      <c r="D198"/>
      <c r="E198"/>
      <c r="BA198"/>
      <c r="BB198"/>
      <c r="BC198"/>
      <c r="BD198"/>
      <c r="BE198"/>
      <c r="BF198" s="29"/>
      <c r="BG198" s="29"/>
      <c r="BH198" s="12"/>
      <c r="BI198" s="12"/>
      <c r="BJ198" s="12"/>
    </row>
    <row r="199" spans="1:62" x14ac:dyDescent="0.25">
      <c r="A199"/>
      <c r="B199"/>
      <c r="C199"/>
      <c r="D199"/>
      <c r="E199"/>
      <c r="F199" s="16"/>
      <c r="G199" s="16"/>
      <c r="BA199"/>
      <c r="BB199"/>
      <c r="BC199"/>
      <c r="BD199"/>
      <c r="BE199"/>
      <c r="BF199" s="16"/>
      <c r="BG199" s="16"/>
      <c r="BH199" s="12"/>
      <c r="BI199" s="12"/>
      <c r="BJ199" s="12"/>
    </row>
    <row r="200" spans="1:62" x14ac:dyDescent="0.25">
      <c r="A200"/>
      <c r="B200"/>
      <c r="C200"/>
      <c r="D200"/>
      <c r="E200"/>
      <c r="BA200"/>
      <c r="BB200"/>
      <c r="BC200"/>
      <c r="BD200"/>
      <c r="BE200"/>
      <c r="BF200" s="29"/>
      <c r="BG200" s="29"/>
      <c r="BH200" s="12"/>
      <c r="BI200" s="12"/>
      <c r="BJ200" s="12"/>
    </row>
    <row r="201" spans="1:62" x14ac:dyDescent="0.25">
      <c r="A201"/>
      <c r="B201"/>
      <c r="C201"/>
      <c r="D201"/>
      <c r="E201"/>
      <c r="F201" s="16"/>
      <c r="G201" s="16"/>
      <c r="BA201"/>
      <c r="BB201"/>
      <c r="BC201"/>
      <c r="BD201"/>
      <c r="BE201"/>
      <c r="BF201" s="16"/>
      <c r="BG201" s="16"/>
      <c r="BH201" s="12"/>
      <c r="BI201" s="12"/>
      <c r="BJ201" s="12"/>
    </row>
    <row r="202" spans="1:62" x14ac:dyDescent="0.25">
      <c r="A202"/>
      <c r="B202"/>
      <c r="C202"/>
      <c r="D202"/>
      <c r="E202"/>
      <c r="F202" s="16"/>
      <c r="G202" s="16"/>
      <c r="BA202"/>
      <c r="BB202"/>
      <c r="BC202"/>
      <c r="BD202"/>
      <c r="BE202"/>
      <c r="BF202" s="16"/>
      <c r="BG202" s="16"/>
      <c r="BH202" s="12"/>
      <c r="BI202" s="12"/>
      <c r="BJ202" s="12"/>
    </row>
    <row r="203" spans="1:62" x14ac:dyDescent="0.25">
      <c r="A203"/>
      <c r="B203"/>
      <c r="C203"/>
      <c r="D203"/>
      <c r="E203"/>
      <c r="BA203"/>
      <c r="BB203"/>
      <c r="BC203"/>
      <c r="BD203"/>
      <c r="BE203"/>
      <c r="BF203" s="29"/>
      <c r="BG203" s="29"/>
      <c r="BH203" s="12"/>
      <c r="BI203" s="12"/>
      <c r="BJ203" s="12"/>
    </row>
    <row r="204" spans="1:62" x14ac:dyDescent="0.25">
      <c r="A204"/>
      <c r="B204"/>
      <c r="C204"/>
      <c r="D204"/>
      <c r="E204"/>
      <c r="BA204"/>
      <c r="BB204"/>
      <c r="BC204"/>
      <c r="BD204"/>
      <c r="BE204"/>
      <c r="BF204" s="29"/>
      <c r="BG204" s="29"/>
      <c r="BH204" s="12"/>
      <c r="BI204" s="12"/>
      <c r="BJ204" s="12"/>
    </row>
    <row r="205" spans="1:62" x14ac:dyDescent="0.25">
      <c r="A205"/>
      <c r="B205"/>
      <c r="C205"/>
      <c r="D205"/>
      <c r="E205"/>
      <c r="BA205"/>
      <c r="BB205"/>
      <c r="BC205"/>
      <c r="BD205"/>
      <c r="BE205"/>
      <c r="BF205" s="29"/>
      <c r="BG205" s="29"/>
      <c r="BH205" s="12"/>
      <c r="BI205" s="12"/>
      <c r="BJ205" s="12"/>
    </row>
    <row r="206" spans="1:62" x14ac:dyDescent="0.25">
      <c r="A206"/>
      <c r="B206"/>
      <c r="C206"/>
      <c r="D206"/>
      <c r="E206"/>
      <c r="BA206"/>
      <c r="BB206"/>
      <c r="BC206"/>
      <c r="BD206"/>
      <c r="BE206"/>
      <c r="BF206" s="29"/>
      <c r="BG206" s="29"/>
      <c r="BH206" s="12"/>
      <c r="BI206" s="12"/>
      <c r="BJ206" s="12"/>
    </row>
    <row r="207" spans="1:62" x14ac:dyDescent="0.25">
      <c r="A207"/>
      <c r="B207"/>
      <c r="C207"/>
      <c r="D207"/>
      <c r="E207"/>
      <c r="BA207"/>
      <c r="BB207"/>
      <c r="BC207"/>
      <c r="BD207"/>
      <c r="BE207"/>
      <c r="BF207" s="29"/>
      <c r="BG207" s="29"/>
      <c r="BH207" s="12"/>
      <c r="BI207" s="12"/>
      <c r="BJ207" s="12"/>
    </row>
    <row r="208" spans="1:62" x14ac:dyDescent="0.25">
      <c r="A208"/>
      <c r="B208"/>
      <c r="C208"/>
      <c r="D208"/>
      <c r="E208"/>
      <c r="F208" s="16"/>
      <c r="BA208"/>
      <c r="BB208"/>
      <c r="BC208"/>
      <c r="BD208"/>
      <c r="BE208"/>
      <c r="BF208" s="16"/>
      <c r="BG208" s="29"/>
      <c r="BH208" s="12"/>
      <c r="BI208" s="12"/>
      <c r="BJ208" s="12"/>
    </row>
    <row r="209" spans="1:62" x14ac:dyDescent="0.25">
      <c r="A209"/>
      <c r="B209"/>
      <c r="C209"/>
      <c r="D209"/>
      <c r="E209"/>
      <c r="BA209"/>
      <c r="BB209"/>
      <c r="BC209"/>
      <c r="BD209"/>
      <c r="BE209"/>
      <c r="BF209" s="29"/>
      <c r="BG209" s="29"/>
      <c r="BH209" s="12"/>
      <c r="BI209" s="12"/>
      <c r="BJ209" s="12"/>
    </row>
    <row r="210" spans="1:62" x14ac:dyDescent="0.25">
      <c r="A210"/>
      <c r="B210"/>
      <c r="C210"/>
      <c r="D210"/>
      <c r="E210"/>
      <c r="F210" s="16"/>
      <c r="G210" s="16"/>
      <c r="BA210"/>
      <c r="BB210"/>
      <c r="BC210"/>
      <c r="BD210"/>
      <c r="BE210"/>
      <c r="BF210" s="16"/>
      <c r="BG210" s="16"/>
      <c r="BH210" s="12"/>
      <c r="BI210" s="12"/>
      <c r="BJ210" s="12"/>
    </row>
    <row r="211" spans="1:62" x14ac:dyDescent="0.25">
      <c r="A211"/>
      <c r="B211"/>
      <c r="C211"/>
      <c r="D211"/>
      <c r="E211"/>
      <c r="F211" s="16"/>
      <c r="BA211"/>
      <c r="BB211"/>
      <c r="BC211"/>
      <c r="BD211"/>
      <c r="BE211"/>
      <c r="BF211" s="16"/>
      <c r="BG211" s="29"/>
      <c r="BH211" s="12"/>
      <c r="BI211" s="12"/>
      <c r="BJ211" s="12"/>
    </row>
    <row r="212" spans="1:62" x14ac:dyDescent="0.25">
      <c r="A212"/>
      <c r="B212"/>
      <c r="C212"/>
      <c r="D212"/>
      <c r="E212"/>
      <c r="F212" s="16"/>
      <c r="G212" s="16"/>
      <c r="BA212"/>
      <c r="BB212"/>
      <c r="BC212"/>
      <c r="BD212"/>
      <c r="BE212"/>
      <c r="BF212" s="16"/>
      <c r="BG212" s="16"/>
      <c r="BH212" s="12"/>
      <c r="BI212" s="12"/>
      <c r="BJ212" s="12"/>
    </row>
    <row r="213" spans="1:62" ht="15" customHeight="1" x14ac:dyDescent="0.25">
      <c r="A213"/>
      <c r="B213"/>
      <c r="C213"/>
      <c r="D213"/>
      <c r="E213"/>
      <c r="F213" s="16"/>
      <c r="G213" s="16"/>
      <c r="BA213"/>
      <c r="BB213"/>
      <c r="BC213"/>
      <c r="BD213"/>
      <c r="BE213"/>
      <c r="BF213" s="16"/>
      <c r="BG213" s="16"/>
      <c r="BH213" s="12"/>
      <c r="BI213" s="12"/>
      <c r="BJ213" s="12"/>
    </row>
    <row r="214" spans="1:62" x14ac:dyDescent="0.25">
      <c r="A214"/>
      <c r="B214"/>
      <c r="C214"/>
      <c r="D214"/>
      <c r="E214"/>
      <c r="F214" s="16"/>
      <c r="G214" s="16"/>
      <c r="BA214"/>
      <c r="BB214"/>
      <c r="BC214"/>
      <c r="BD214"/>
      <c r="BE214"/>
      <c r="BF214" s="16"/>
      <c r="BG214" s="16"/>
      <c r="BH214" s="12"/>
      <c r="BI214" s="12"/>
      <c r="BJ214" s="12"/>
    </row>
    <row r="215" spans="1:62" x14ac:dyDescent="0.25">
      <c r="A215"/>
      <c r="B215"/>
      <c r="C215"/>
      <c r="D215"/>
      <c r="E215"/>
      <c r="F215" s="16"/>
      <c r="G215" s="16"/>
      <c r="BA215"/>
      <c r="BB215"/>
      <c r="BC215"/>
      <c r="BD215"/>
      <c r="BE215"/>
      <c r="BF215" s="16"/>
      <c r="BG215" s="16"/>
      <c r="BH215" s="12"/>
      <c r="BI215" s="12"/>
      <c r="BJ215" s="12"/>
    </row>
    <row r="216" spans="1:62" x14ac:dyDescent="0.25">
      <c r="A216"/>
      <c r="B216"/>
      <c r="C216"/>
      <c r="D216"/>
      <c r="E216"/>
      <c r="BA216"/>
      <c r="BB216"/>
      <c r="BC216"/>
      <c r="BD216"/>
      <c r="BE216"/>
      <c r="BF216" s="29"/>
      <c r="BG216" s="29"/>
      <c r="BH216" s="12"/>
      <c r="BI216" s="12"/>
      <c r="BJ216" s="12"/>
    </row>
    <row r="217" spans="1:62" x14ac:dyDescent="0.25">
      <c r="A217"/>
      <c r="B217"/>
      <c r="C217"/>
      <c r="D217"/>
      <c r="E217"/>
      <c r="BA217"/>
      <c r="BB217"/>
      <c r="BC217"/>
      <c r="BD217"/>
      <c r="BE217"/>
      <c r="BF217" s="29"/>
      <c r="BG217" s="29"/>
      <c r="BH217" s="12"/>
      <c r="BI217" s="12"/>
      <c r="BJ217" s="12"/>
    </row>
    <row r="218" spans="1:62" x14ac:dyDescent="0.25">
      <c r="A218"/>
      <c r="B218"/>
      <c r="C218"/>
      <c r="D218"/>
      <c r="E218"/>
      <c r="BA218"/>
      <c r="BB218"/>
      <c r="BC218"/>
      <c r="BD218"/>
      <c r="BE218"/>
      <c r="BF218" s="29"/>
      <c r="BG218" s="29"/>
      <c r="BH218" s="12"/>
      <c r="BI218" s="12"/>
      <c r="BJ218" s="12"/>
    </row>
    <row r="219" spans="1:62" x14ac:dyDescent="0.25">
      <c r="A219"/>
      <c r="B219"/>
      <c r="C219"/>
      <c r="D219"/>
      <c r="E219"/>
      <c r="BA219"/>
      <c r="BB219"/>
      <c r="BC219"/>
      <c r="BD219"/>
      <c r="BE219"/>
      <c r="BF219" s="29"/>
      <c r="BG219" s="29"/>
      <c r="BH219" s="12"/>
      <c r="BI219" s="12"/>
      <c r="BJ219" s="12"/>
    </row>
    <row r="220" spans="1:62" ht="15" customHeight="1" x14ac:dyDescent="0.25">
      <c r="A220"/>
      <c r="B220"/>
      <c r="C220"/>
      <c r="D220"/>
      <c r="E220"/>
      <c r="BA220"/>
      <c r="BB220"/>
      <c r="BC220"/>
      <c r="BD220"/>
      <c r="BE220"/>
      <c r="BF220" s="29"/>
      <c r="BG220" s="29"/>
      <c r="BH220" s="12"/>
      <c r="BI220" s="12"/>
      <c r="BJ220" s="12"/>
    </row>
    <row r="221" spans="1:62" x14ac:dyDescent="0.25">
      <c r="A221"/>
      <c r="B221"/>
      <c r="C221"/>
      <c r="D221"/>
      <c r="E221"/>
      <c r="F221" s="16"/>
      <c r="G221" s="16"/>
      <c r="BA221"/>
      <c r="BB221"/>
      <c r="BC221"/>
      <c r="BD221"/>
      <c r="BE221"/>
      <c r="BF221" s="16"/>
      <c r="BG221" s="16"/>
      <c r="BH221" s="12"/>
      <c r="BI221" s="12"/>
      <c r="BJ221" s="12"/>
    </row>
    <row r="222" spans="1:62" x14ac:dyDescent="0.25">
      <c r="A222"/>
      <c r="B222"/>
      <c r="C222"/>
      <c r="D222"/>
      <c r="E222"/>
      <c r="F222" s="16"/>
      <c r="G222" s="16"/>
      <c r="P222" s="28"/>
      <c r="Q222" s="28"/>
      <c r="R222" s="28"/>
      <c r="BA222"/>
      <c r="BB222"/>
      <c r="BC222"/>
      <c r="BD222"/>
      <c r="BE222"/>
      <c r="BF222" s="16"/>
      <c r="BG222" s="16"/>
      <c r="BH222" s="12"/>
      <c r="BI222" s="12"/>
      <c r="BJ222" s="12"/>
    </row>
    <row r="223" spans="1:62" x14ac:dyDescent="0.25">
      <c r="A223"/>
      <c r="B223"/>
      <c r="C223"/>
      <c r="D223"/>
      <c r="E223"/>
      <c r="BA223"/>
      <c r="BB223"/>
      <c r="BC223"/>
      <c r="BD223"/>
      <c r="BE223"/>
      <c r="BF223" s="29"/>
      <c r="BG223" s="29"/>
      <c r="BH223" s="12"/>
      <c r="BI223" s="12"/>
      <c r="BJ223" s="12"/>
    </row>
    <row r="224" spans="1:62" x14ac:dyDescent="0.25">
      <c r="A224"/>
      <c r="B224"/>
      <c r="C224"/>
      <c r="D224"/>
      <c r="E224"/>
      <c r="BA224"/>
      <c r="BB224"/>
      <c r="BC224"/>
      <c r="BD224"/>
      <c r="BE224"/>
      <c r="BF224" s="29"/>
      <c r="BG224" s="29"/>
      <c r="BH224" s="12"/>
      <c r="BI224" s="12"/>
      <c r="BJ224" s="12"/>
    </row>
    <row r="225" spans="1:62" x14ac:dyDescent="0.25">
      <c r="A225"/>
      <c r="B225"/>
      <c r="C225"/>
      <c r="D225"/>
      <c r="E225"/>
      <c r="BA225"/>
      <c r="BB225"/>
      <c r="BC225"/>
      <c r="BD225"/>
      <c r="BE225"/>
      <c r="BF225" s="29"/>
      <c r="BG225" s="29"/>
      <c r="BH225" s="12"/>
      <c r="BI225" s="12"/>
      <c r="BJ225" s="12"/>
    </row>
    <row r="226" spans="1:62" x14ac:dyDescent="0.25">
      <c r="A226"/>
      <c r="B226"/>
      <c r="C226"/>
      <c r="D226"/>
      <c r="E226"/>
      <c r="F226" s="16"/>
      <c r="G226" s="16"/>
      <c r="BA226"/>
      <c r="BB226"/>
      <c r="BC226"/>
      <c r="BD226"/>
      <c r="BE226"/>
      <c r="BF226" s="16"/>
      <c r="BG226" s="16"/>
      <c r="BH226" s="12"/>
      <c r="BI226" s="12"/>
      <c r="BJ226" s="12"/>
    </row>
    <row r="227" spans="1:62" x14ac:dyDescent="0.25">
      <c r="A227"/>
      <c r="B227"/>
      <c r="C227"/>
      <c r="D227"/>
      <c r="E227"/>
      <c r="F227" s="16"/>
      <c r="G227" s="16"/>
      <c r="BA227"/>
      <c r="BB227"/>
      <c r="BC227"/>
      <c r="BD227"/>
      <c r="BE227"/>
      <c r="BF227" s="16"/>
      <c r="BG227" s="16"/>
      <c r="BH227" s="12"/>
      <c r="BI227" s="12"/>
      <c r="BJ227" s="12"/>
    </row>
    <row r="228" spans="1:62" x14ac:dyDescent="0.25">
      <c r="A228"/>
      <c r="B228"/>
      <c r="C228"/>
      <c r="D228"/>
      <c r="E228"/>
      <c r="BA228"/>
      <c r="BB228"/>
      <c r="BC228"/>
      <c r="BD228"/>
      <c r="BE228"/>
      <c r="BF228" s="29"/>
      <c r="BG228" s="29"/>
      <c r="BH228" s="12"/>
      <c r="BI228" s="12"/>
      <c r="BJ228" s="12"/>
    </row>
    <row r="229" spans="1:62" x14ac:dyDescent="0.25">
      <c r="A229"/>
      <c r="B229"/>
      <c r="C229"/>
      <c r="D229"/>
      <c r="E229"/>
      <c r="F229" s="16"/>
      <c r="G229" s="16"/>
      <c r="BA229"/>
      <c r="BB229"/>
      <c r="BC229"/>
      <c r="BD229"/>
      <c r="BE229"/>
      <c r="BF229" s="16"/>
      <c r="BG229" s="16"/>
      <c r="BH229" s="12"/>
      <c r="BI229" s="12"/>
      <c r="BJ229" s="12"/>
    </row>
    <row r="230" spans="1:62" x14ac:dyDescent="0.25">
      <c r="A230"/>
      <c r="B230"/>
      <c r="C230"/>
      <c r="D230"/>
      <c r="E230"/>
      <c r="F230" s="16"/>
      <c r="G230" s="16"/>
      <c r="BA230"/>
      <c r="BB230"/>
      <c r="BC230"/>
      <c r="BD230"/>
      <c r="BE230"/>
      <c r="BF230" s="16"/>
      <c r="BG230" s="16"/>
      <c r="BH230" s="12"/>
      <c r="BI230" s="12"/>
      <c r="BJ230" s="12"/>
    </row>
    <row r="231" spans="1:62" x14ac:dyDescent="0.25">
      <c r="A231"/>
      <c r="B231"/>
      <c r="C231"/>
      <c r="D231"/>
      <c r="E231"/>
      <c r="BA231"/>
      <c r="BB231"/>
      <c r="BC231"/>
      <c r="BD231"/>
      <c r="BE231"/>
      <c r="BF231" s="29"/>
      <c r="BG231" s="29"/>
      <c r="BH231" s="12"/>
      <c r="BI231" s="12"/>
      <c r="BJ231" s="12"/>
    </row>
    <row r="232" spans="1:62" x14ac:dyDescent="0.25">
      <c r="A232"/>
      <c r="B232"/>
      <c r="C232"/>
      <c r="D232"/>
      <c r="E232"/>
      <c r="BA232"/>
      <c r="BB232"/>
      <c r="BC232"/>
      <c r="BD232"/>
      <c r="BE232"/>
      <c r="BF232" s="29"/>
      <c r="BG232" s="29"/>
      <c r="BH232" s="12"/>
      <c r="BI232" s="12"/>
      <c r="BJ232" s="12"/>
    </row>
    <row r="233" spans="1:62" x14ac:dyDescent="0.25">
      <c r="A233"/>
      <c r="B233"/>
      <c r="C233"/>
      <c r="D233"/>
      <c r="E233"/>
      <c r="BA233"/>
      <c r="BB233"/>
      <c r="BC233"/>
      <c r="BD233"/>
      <c r="BE233"/>
      <c r="BF233" s="29"/>
      <c r="BG233" s="29"/>
      <c r="BH233" s="12"/>
      <c r="BI233" s="12"/>
      <c r="BJ233" s="12"/>
    </row>
    <row r="234" spans="1:62" x14ac:dyDescent="0.25">
      <c r="A234"/>
      <c r="B234"/>
      <c r="C234"/>
      <c r="D234"/>
      <c r="E234"/>
      <c r="F234" s="16"/>
      <c r="G234" s="16"/>
      <c r="BA234"/>
      <c r="BB234"/>
      <c r="BC234"/>
      <c r="BD234"/>
      <c r="BE234"/>
      <c r="BF234" s="16"/>
      <c r="BG234" s="16"/>
      <c r="BH234" s="12"/>
      <c r="BI234" s="12"/>
      <c r="BJ234" s="12"/>
    </row>
    <row r="235" spans="1:62" x14ac:dyDescent="0.25">
      <c r="A235"/>
      <c r="B235"/>
      <c r="C235"/>
      <c r="D235"/>
      <c r="E235"/>
      <c r="BA235"/>
      <c r="BB235"/>
      <c r="BC235"/>
      <c r="BD235"/>
      <c r="BE235"/>
      <c r="BF235" s="29"/>
      <c r="BG235" s="29"/>
      <c r="BH235" s="12"/>
      <c r="BI235" s="12"/>
      <c r="BJ235" s="12"/>
    </row>
    <row r="236" spans="1:62" x14ac:dyDescent="0.25">
      <c r="A236"/>
      <c r="B236"/>
      <c r="C236"/>
      <c r="D236"/>
      <c r="E236"/>
      <c r="F236" s="16"/>
      <c r="G236" s="16"/>
      <c r="BA236"/>
      <c r="BB236"/>
      <c r="BC236"/>
      <c r="BD236"/>
      <c r="BE236"/>
      <c r="BF236" s="16"/>
      <c r="BG236" s="16"/>
      <c r="BH236" s="12"/>
      <c r="BI236" s="12"/>
      <c r="BJ236" s="12"/>
    </row>
    <row r="237" spans="1:62" x14ac:dyDescent="0.25">
      <c r="A237"/>
      <c r="B237"/>
      <c r="C237"/>
      <c r="D237"/>
      <c r="E237"/>
      <c r="BA237"/>
      <c r="BB237"/>
      <c r="BC237"/>
      <c r="BD237"/>
      <c r="BE237"/>
      <c r="BF237" s="29"/>
      <c r="BG237" s="29"/>
      <c r="BH237" s="12"/>
      <c r="BI237" s="12"/>
      <c r="BJ237" s="12"/>
    </row>
    <row r="238" spans="1:62" x14ac:dyDescent="0.25">
      <c r="A238"/>
      <c r="B238"/>
      <c r="C238"/>
      <c r="D238"/>
      <c r="E238"/>
      <c r="BA238"/>
      <c r="BB238"/>
      <c r="BC238"/>
      <c r="BD238"/>
      <c r="BE238"/>
      <c r="BF238" s="29"/>
      <c r="BG238" s="29"/>
      <c r="BH238" s="12"/>
      <c r="BI238" s="12"/>
      <c r="BJ238" s="12"/>
    </row>
    <row r="239" spans="1:62" x14ac:dyDescent="0.25">
      <c r="A239"/>
      <c r="B239"/>
      <c r="C239"/>
      <c r="D239"/>
      <c r="E239"/>
      <c r="F239" s="16"/>
      <c r="G239" s="16"/>
      <c r="BA239"/>
      <c r="BB239"/>
      <c r="BC239"/>
      <c r="BD239"/>
      <c r="BE239"/>
      <c r="BF239" s="16"/>
      <c r="BG239" s="16"/>
      <c r="BH239" s="12"/>
      <c r="BI239" s="12"/>
      <c r="BJ239" s="12"/>
    </row>
    <row r="240" spans="1:62" x14ac:dyDescent="0.25">
      <c r="A240"/>
      <c r="B240"/>
      <c r="C240"/>
      <c r="D240"/>
      <c r="E240"/>
      <c r="F240" s="16"/>
      <c r="G240" s="16"/>
      <c r="BA240"/>
      <c r="BB240"/>
      <c r="BC240"/>
      <c r="BD240"/>
      <c r="BE240"/>
      <c r="BF240" s="16"/>
      <c r="BG240" s="16"/>
      <c r="BH240" s="12"/>
      <c r="BI240" s="12"/>
      <c r="BJ240" s="12"/>
    </row>
    <row r="241" spans="1:62" x14ac:dyDescent="0.25">
      <c r="A241"/>
      <c r="B241"/>
      <c r="C241"/>
      <c r="D241"/>
      <c r="E241"/>
      <c r="F241" s="16"/>
      <c r="G241" s="16"/>
      <c r="BA241"/>
      <c r="BB241"/>
      <c r="BC241"/>
      <c r="BD241"/>
      <c r="BE241"/>
      <c r="BF241" s="16"/>
      <c r="BG241" s="16"/>
      <c r="BH241" s="12"/>
      <c r="BI241" s="12"/>
      <c r="BJ241" s="12"/>
    </row>
    <row r="242" spans="1:62" x14ac:dyDescent="0.25">
      <c r="A242"/>
      <c r="B242"/>
      <c r="C242"/>
      <c r="D242"/>
      <c r="E242"/>
      <c r="P242" s="28"/>
      <c r="Q242" s="28"/>
      <c r="R242" s="28"/>
      <c r="BA242"/>
      <c r="BB242"/>
      <c r="BC242"/>
      <c r="BD242"/>
      <c r="BE242"/>
      <c r="BF242" s="29"/>
      <c r="BG242" s="29"/>
      <c r="BH242" s="12"/>
      <c r="BI242" s="12"/>
      <c r="BJ242" s="12"/>
    </row>
    <row r="243" spans="1:62" x14ac:dyDescent="0.25">
      <c r="A243"/>
      <c r="B243"/>
      <c r="C243"/>
      <c r="D243"/>
      <c r="E243"/>
      <c r="BA243"/>
      <c r="BB243"/>
      <c r="BC243"/>
      <c r="BD243"/>
      <c r="BE243"/>
      <c r="BF243" s="29"/>
      <c r="BG243" s="29"/>
      <c r="BH243" s="12"/>
      <c r="BI243" s="12"/>
      <c r="BJ243" s="12"/>
    </row>
    <row r="244" spans="1:62" x14ac:dyDescent="0.25">
      <c r="A244"/>
      <c r="B244"/>
      <c r="C244"/>
      <c r="D244"/>
      <c r="E244"/>
      <c r="BA244"/>
      <c r="BB244"/>
      <c r="BC244"/>
      <c r="BD244"/>
      <c r="BE244"/>
      <c r="BF244" s="29"/>
      <c r="BG244" s="29"/>
      <c r="BH244" s="12"/>
      <c r="BI244" s="12"/>
      <c r="BJ244" s="12"/>
    </row>
    <row r="245" spans="1:62" x14ac:dyDescent="0.25">
      <c r="A245"/>
      <c r="B245"/>
      <c r="C245"/>
      <c r="D245"/>
      <c r="E245"/>
      <c r="F245" s="16"/>
      <c r="G245" s="16"/>
      <c r="BA245"/>
      <c r="BB245"/>
      <c r="BC245"/>
      <c r="BD245"/>
      <c r="BE245"/>
      <c r="BF245" s="16"/>
      <c r="BG245" s="16"/>
      <c r="BH245" s="12"/>
      <c r="BI245" s="12"/>
      <c r="BJ245" s="12"/>
    </row>
    <row r="246" spans="1:62" x14ac:dyDescent="0.25">
      <c r="A246"/>
      <c r="B246"/>
      <c r="C246"/>
      <c r="D246"/>
      <c r="E246"/>
      <c r="BA246"/>
      <c r="BB246"/>
      <c r="BC246"/>
      <c r="BD246"/>
      <c r="BE246"/>
      <c r="BF246" s="29"/>
      <c r="BG246" s="29"/>
      <c r="BH246" s="12"/>
      <c r="BI246" s="12"/>
      <c r="BJ246" s="12"/>
    </row>
    <row r="247" spans="1:62" x14ac:dyDescent="0.25">
      <c r="A247"/>
      <c r="B247"/>
      <c r="C247"/>
      <c r="D247"/>
      <c r="E247"/>
      <c r="F247" s="16"/>
      <c r="G247" s="16"/>
      <c r="BA247"/>
      <c r="BB247"/>
      <c r="BC247"/>
      <c r="BD247"/>
      <c r="BE247"/>
      <c r="BF247" s="16"/>
      <c r="BG247" s="16"/>
      <c r="BH247" s="12"/>
      <c r="BI247" s="12"/>
      <c r="BJ247" s="12"/>
    </row>
    <row r="248" spans="1:62" x14ac:dyDescent="0.25">
      <c r="A248"/>
      <c r="B248"/>
      <c r="C248"/>
      <c r="D248"/>
      <c r="E248"/>
      <c r="F248" s="16"/>
      <c r="G248" s="16"/>
      <c r="BA248"/>
      <c r="BB248"/>
      <c r="BC248"/>
      <c r="BD248"/>
      <c r="BE248"/>
      <c r="BF248" s="16"/>
      <c r="BG248" s="16"/>
      <c r="BH248" s="12"/>
      <c r="BI248" s="12"/>
      <c r="BJ248" s="12"/>
    </row>
    <row r="249" spans="1:62" x14ac:dyDescent="0.25">
      <c r="A249"/>
      <c r="B249"/>
      <c r="C249"/>
      <c r="D249"/>
      <c r="E249"/>
      <c r="BA249"/>
      <c r="BB249"/>
      <c r="BC249"/>
      <c r="BD249"/>
      <c r="BE249"/>
      <c r="BF249" s="29"/>
      <c r="BG249" s="29"/>
      <c r="BH249" s="12"/>
      <c r="BI249" s="12"/>
      <c r="BJ249" s="12"/>
    </row>
    <row r="250" spans="1:62" x14ac:dyDescent="0.25">
      <c r="A250"/>
      <c r="B250"/>
      <c r="C250"/>
      <c r="D250"/>
      <c r="E250"/>
      <c r="BA250"/>
      <c r="BB250"/>
      <c r="BC250"/>
      <c r="BD250"/>
      <c r="BE250"/>
      <c r="BF250" s="29"/>
      <c r="BG250" s="29"/>
      <c r="BH250" s="12"/>
      <c r="BI250" s="12"/>
      <c r="BJ250" s="12"/>
    </row>
    <row r="251" spans="1:62" x14ac:dyDescent="0.25">
      <c r="A251"/>
      <c r="B251"/>
      <c r="C251"/>
      <c r="D251"/>
      <c r="E251"/>
      <c r="BA251"/>
      <c r="BB251"/>
      <c r="BC251"/>
      <c r="BD251"/>
      <c r="BE251"/>
      <c r="BF251" s="29"/>
      <c r="BG251" s="29"/>
      <c r="BH251" s="12"/>
      <c r="BI251" s="12"/>
      <c r="BJ251" s="12"/>
    </row>
    <row r="252" spans="1:62" x14ac:dyDescent="0.25">
      <c r="A252"/>
      <c r="B252"/>
      <c r="C252"/>
      <c r="D252"/>
      <c r="E252"/>
      <c r="BA252"/>
      <c r="BB252"/>
      <c r="BC252"/>
      <c r="BD252"/>
      <c r="BE252"/>
      <c r="BF252" s="29"/>
      <c r="BG252" s="29"/>
      <c r="BH252" s="12"/>
      <c r="BI252" s="12"/>
      <c r="BJ252" s="12"/>
    </row>
    <row r="253" spans="1:62" x14ac:dyDescent="0.25">
      <c r="A253"/>
      <c r="B253"/>
      <c r="C253"/>
      <c r="D253"/>
      <c r="E253"/>
      <c r="BA253"/>
      <c r="BB253"/>
      <c r="BC253"/>
      <c r="BD253"/>
      <c r="BE253"/>
      <c r="BF253" s="29"/>
      <c r="BG253" s="29"/>
      <c r="BH253" s="12"/>
      <c r="BI253" s="12"/>
      <c r="BJ253" s="12"/>
    </row>
    <row r="254" spans="1:62" x14ac:dyDescent="0.25">
      <c r="A254"/>
      <c r="B254"/>
      <c r="C254"/>
      <c r="D254"/>
      <c r="E254"/>
      <c r="BA254"/>
      <c r="BB254"/>
      <c r="BC254"/>
      <c r="BD254"/>
      <c r="BE254"/>
      <c r="BF254" s="29"/>
      <c r="BG254" s="29"/>
      <c r="BH254" s="12"/>
      <c r="BI254" s="12"/>
      <c r="BJ254" s="12"/>
    </row>
    <row r="255" spans="1:62" x14ac:dyDescent="0.25">
      <c r="A255"/>
      <c r="B255"/>
      <c r="C255"/>
      <c r="D255"/>
      <c r="E255"/>
      <c r="BA255"/>
      <c r="BB255"/>
      <c r="BC255"/>
      <c r="BD255"/>
      <c r="BE255"/>
      <c r="BF255" s="29"/>
      <c r="BG255" s="29"/>
      <c r="BH255" s="12"/>
      <c r="BI255" s="12"/>
      <c r="BJ255" s="12"/>
    </row>
    <row r="256" spans="1:62" x14ac:dyDescent="0.25">
      <c r="A256"/>
      <c r="B256"/>
      <c r="C256"/>
      <c r="D256"/>
      <c r="E256"/>
      <c r="BA256"/>
      <c r="BB256"/>
      <c r="BC256"/>
      <c r="BD256"/>
      <c r="BE256"/>
      <c r="BF256" s="29"/>
      <c r="BG256" s="29"/>
      <c r="BH256" s="12"/>
      <c r="BI256" s="12"/>
      <c r="BJ256" s="12"/>
    </row>
    <row r="257" spans="1:62" x14ac:dyDescent="0.25">
      <c r="A257"/>
      <c r="B257"/>
      <c r="C257"/>
      <c r="D257"/>
      <c r="E257"/>
      <c r="F257" s="16"/>
      <c r="G257" s="16"/>
      <c r="BA257"/>
      <c r="BB257"/>
      <c r="BC257"/>
      <c r="BD257"/>
      <c r="BE257"/>
      <c r="BF257" s="16"/>
      <c r="BG257" s="16"/>
      <c r="BH257" s="12"/>
      <c r="BI257" s="12"/>
      <c r="BJ257" s="12"/>
    </row>
    <row r="258" spans="1:62" x14ac:dyDescent="0.25">
      <c r="A258"/>
      <c r="B258"/>
      <c r="C258"/>
      <c r="D258"/>
      <c r="E258"/>
      <c r="BA258"/>
      <c r="BB258"/>
      <c r="BC258"/>
      <c r="BD258"/>
      <c r="BE258"/>
      <c r="BF258" s="29"/>
      <c r="BG258" s="29"/>
      <c r="BH258" s="12"/>
      <c r="BI258" s="12"/>
      <c r="BJ258" s="12"/>
    </row>
    <row r="259" spans="1:62" x14ac:dyDescent="0.25">
      <c r="A259"/>
      <c r="B259"/>
      <c r="C259"/>
      <c r="D259"/>
      <c r="E259"/>
      <c r="F259" s="16"/>
      <c r="G259" s="16"/>
      <c r="BA259"/>
      <c r="BB259"/>
      <c r="BC259"/>
      <c r="BD259"/>
      <c r="BE259"/>
      <c r="BF259" s="16"/>
      <c r="BG259" s="16"/>
      <c r="BH259" s="12"/>
      <c r="BI259" s="12"/>
      <c r="BJ259" s="12"/>
    </row>
    <row r="260" spans="1:62" x14ac:dyDescent="0.25">
      <c r="A260"/>
      <c r="B260"/>
      <c r="C260"/>
      <c r="D260"/>
      <c r="E260"/>
      <c r="BA260"/>
      <c r="BB260"/>
      <c r="BC260"/>
      <c r="BD260"/>
      <c r="BE260"/>
      <c r="BF260" s="29"/>
      <c r="BG260" s="29"/>
      <c r="BH260" s="12"/>
      <c r="BI260" s="12"/>
      <c r="BJ260" s="12"/>
    </row>
    <row r="261" spans="1:62" x14ac:dyDescent="0.25">
      <c r="A261"/>
      <c r="B261"/>
      <c r="C261"/>
      <c r="D261"/>
      <c r="E261"/>
      <c r="BA261"/>
      <c r="BB261"/>
      <c r="BC261"/>
      <c r="BD261"/>
      <c r="BE261"/>
      <c r="BF261" s="29"/>
      <c r="BG261" s="29"/>
      <c r="BH261" s="12"/>
      <c r="BI261" s="12"/>
      <c r="BJ261" s="12"/>
    </row>
    <row r="262" spans="1:62" x14ac:dyDescent="0.25">
      <c r="A262"/>
      <c r="B262"/>
      <c r="C262"/>
      <c r="D262"/>
      <c r="E262"/>
      <c r="F262" s="16"/>
      <c r="BA262"/>
      <c r="BB262"/>
      <c r="BC262"/>
      <c r="BD262"/>
      <c r="BE262"/>
      <c r="BF262" s="16"/>
      <c r="BG262" s="29"/>
      <c r="BH262" s="12"/>
      <c r="BI262" s="12"/>
      <c r="BJ262" s="12"/>
    </row>
    <row r="263" spans="1:62" x14ac:dyDescent="0.25">
      <c r="A263"/>
      <c r="B263"/>
      <c r="C263"/>
      <c r="D263"/>
      <c r="E263"/>
      <c r="BA263"/>
      <c r="BB263"/>
      <c r="BC263"/>
      <c r="BD263"/>
      <c r="BE263"/>
      <c r="BF263" s="29"/>
      <c r="BG263" s="29"/>
      <c r="BH263" s="12"/>
      <c r="BI263" s="12"/>
      <c r="BJ263" s="12"/>
    </row>
    <row r="264" spans="1:62" x14ac:dyDescent="0.25">
      <c r="A264"/>
      <c r="B264"/>
      <c r="C264"/>
      <c r="D264"/>
      <c r="E264"/>
      <c r="BA264"/>
      <c r="BB264"/>
      <c r="BC264"/>
      <c r="BD264"/>
      <c r="BE264"/>
      <c r="BF264" s="29"/>
      <c r="BG264" s="29"/>
      <c r="BH264" s="12"/>
      <c r="BI264" s="12"/>
      <c r="BJ264" s="12"/>
    </row>
    <row r="265" spans="1:62" x14ac:dyDescent="0.25">
      <c r="A265"/>
      <c r="B265"/>
      <c r="C265"/>
      <c r="D265"/>
      <c r="E265"/>
      <c r="BA265"/>
      <c r="BB265"/>
      <c r="BC265"/>
      <c r="BD265"/>
      <c r="BE265"/>
      <c r="BF265" s="29"/>
      <c r="BG265" s="29"/>
      <c r="BH265" s="12"/>
      <c r="BI265" s="12"/>
      <c r="BJ265" s="12"/>
    </row>
    <row r="266" spans="1:62" x14ac:dyDescent="0.25">
      <c r="A266"/>
      <c r="B266"/>
      <c r="C266"/>
      <c r="D266"/>
      <c r="E266"/>
      <c r="BA266"/>
      <c r="BB266"/>
      <c r="BC266"/>
      <c r="BD266"/>
      <c r="BE266"/>
      <c r="BF266" s="29"/>
      <c r="BG266" s="29"/>
      <c r="BH266" s="12"/>
      <c r="BI266" s="12"/>
      <c r="BJ266" s="12"/>
    </row>
    <row r="267" spans="1:62" x14ac:dyDescent="0.25">
      <c r="A267"/>
      <c r="B267"/>
      <c r="C267"/>
      <c r="D267"/>
      <c r="E267"/>
      <c r="F267" s="16"/>
      <c r="G267" s="16"/>
      <c r="BA267"/>
      <c r="BB267"/>
      <c r="BC267"/>
      <c r="BD267"/>
      <c r="BE267"/>
      <c r="BF267" s="16"/>
      <c r="BG267" s="16"/>
      <c r="BH267" s="12"/>
      <c r="BI267" s="12"/>
      <c r="BJ267" s="12"/>
    </row>
    <row r="268" spans="1:62" x14ac:dyDescent="0.25">
      <c r="A268"/>
      <c r="B268"/>
      <c r="C268"/>
      <c r="D268"/>
      <c r="E268"/>
      <c r="BA268"/>
      <c r="BB268"/>
      <c r="BC268"/>
      <c r="BD268"/>
      <c r="BE268"/>
      <c r="BF268" s="29"/>
      <c r="BG268" s="29"/>
      <c r="BH268" s="12"/>
      <c r="BI268" s="12"/>
      <c r="BJ268" s="12"/>
    </row>
    <row r="269" spans="1:62" x14ac:dyDescent="0.25">
      <c r="A269"/>
      <c r="B269"/>
      <c r="C269"/>
      <c r="D269"/>
      <c r="E269"/>
      <c r="F269" s="16"/>
      <c r="G269" s="16"/>
      <c r="P269" s="28"/>
      <c r="Q269" s="28"/>
      <c r="R269" s="28"/>
      <c r="BA269"/>
      <c r="BB269"/>
      <c r="BC269"/>
      <c r="BD269"/>
      <c r="BE269"/>
      <c r="BF269" s="16"/>
      <c r="BG269" s="16"/>
      <c r="BH269" s="12"/>
      <c r="BI269" s="12"/>
      <c r="BJ269" s="12"/>
    </row>
    <row r="270" spans="1:62" x14ac:dyDescent="0.25">
      <c r="A270"/>
      <c r="B270"/>
      <c r="C270"/>
      <c r="D270"/>
      <c r="E270"/>
      <c r="BA270"/>
      <c r="BB270"/>
      <c r="BC270"/>
      <c r="BD270"/>
      <c r="BE270"/>
      <c r="BF270" s="29"/>
      <c r="BG270" s="29"/>
      <c r="BH270" s="12"/>
      <c r="BI270" s="12"/>
      <c r="BJ270" s="12"/>
    </row>
    <row r="271" spans="1:62" x14ac:dyDescent="0.25">
      <c r="A271"/>
      <c r="B271"/>
      <c r="C271"/>
      <c r="D271"/>
      <c r="E271"/>
      <c r="BA271"/>
      <c r="BB271"/>
      <c r="BC271"/>
      <c r="BD271"/>
      <c r="BE271"/>
      <c r="BF271" s="29"/>
      <c r="BG271" s="29"/>
      <c r="BH271" s="12"/>
      <c r="BI271" s="12"/>
      <c r="BJ271" s="12"/>
    </row>
    <row r="272" spans="1:62" x14ac:dyDescent="0.25">
      <c r="A272"/>
      <c r="B272"/>
      <c r="C272"/>
      <c r="D272"/>
      <c r="E272"/>
      <c r="F272" s="16"/>
      <c r="G272" s="16"/>
      <c r="P272" s="28"/>
      <c r="Q272" s="28"/>
      <c r="R272" s="28"/>
      <c r="BA272"/>
      <c r="BB272"/>
      <c r="BC272"/>
      <c r="BD272"/>
      <c r="BE272"/>
      <c r="BF272" s="16"/>
      <c r="BG272" s="16"/>
      <c r="BH272" s="12"/>
      <c r="BI272" s="12"/>
      <c r="BJ272" s="12"/>
    </row>
    <row r="273" spans="1:62" x14ac:dyDescent="0.25">
      <c r="A273"/>
      <c r="B273"/>
      <c r="C273"/>
      <c r="D273"/>
      <c r="E273"/>
      <c r="BA273"/>
      <c r="BB273"/>
      <c r="BC273"/>
      <c r="BD273"/>
      <c r="BE273"/>
      <c r="BF273" s="29"/>
      <c r="BG273" s="29"/>
      <c r="BH273" s="12"/>
      <c r="BI273" s="12"/>
      <c r="BJ273" s="12"/>
    </row>
    <row r="274" spans="1:62" x14ac:dyDescent="0.25">
      <c r="A274"/>
      <c r="B274"/>
      <c r="C274"/>
      <c r="D274"/>
      <c r="E274"/>
      <c r="F274" s="16"/>
      <c r="G274" s="16"/>
      <c r="BA274"/>
      <c r="BB274"/>
      <c r="BC274"/>
      <c r="BD274"/>
      <c r="BE274"/>
      <c r="BF274" s="16"/>
      <c r="BG274" s="16"/>
      <c r="BH274" s="12"/>
      <c r="BI274" s="12"/>
      <c r="BJ274" s="12"/>
    </row>
    <row r="275" spans="1:62" x14ac:dyDescent="0.25">
      <c r="A275"/>
      <c r="B275"/>
      <c r="C275"/>
      <c r="D275"/>
      <c r="E275"/>
      <c r="F275" s="16"/>
      <c r="G275" s="16"/>
      <c r="BA275"/>
      <c r="BB275"/>
      <c r="BC275"/>
      <c r="BD275"/>
      <c r="BE275"/>
      <c r="BF275" s="16"/>
      <c r="BG275" s="16"/>
      <c r="BH275" s="12"/>
      <c r="BI275" s="12"/>
      <c r="BJ275" s="12"/>
    </row>
    <row r="276" spans="1:62" x14ac:dyDescent="0.25">
      <c r="A276"/>
      <c r="B276"/>
      <c r="C276"/>
      <c r="D276"/>
      <c r="E276"/>
      <c r="BA276"/>
      <c r="BB276"/>
      <c r="BC276"/>
      <c r="BD276"/>
      <c r="BE276"/>
      <c r="BF276" s="29"/>
      <c r="BG276" s="29"/>
      <c r="BH276" s="12"/>
      <c r="BI276" s="12"/>
      <c r="BJ276" s="12"/>
    </row>
    <row r="277" spans="1:62" x14ac:dyDescent="0.25">
      <c r="A277"/>
      <c r="B277"/>
      <c r="C277"/>
      <c r="D277"/>
      <c r="E277"/>
      <c r="BA277"/>
      <c r="BB277"/>
      <c r="BC277"/>
      <c r="BD277"/>
      <c r="BE277"/>
      <c r="BF277" s="29"/>
      <c r="BG277" s="29"/>
      <c r="BH277" s="12"/>
      <c r="BI277" s="12"/>
      <c r="BJ277" s="12"/>
    </row>
    <row r="278" spans="1:62" x14ac:dyDescent="0.25">
      <c r="A278"/>
      <c r="B278"/>
      <c r="C278"/>
      <c r="D278"/>
      <c r="E278"/>
      <c r="BA278"/>
      <c r="BB278"/>
      <c r="BC278"/>
      <c r="BD278"/>
      <c r="BE278"/>
      <c r="BF278" s="29"/>
      <c r="BG278" s="29"/>
      <c r="BH278" s="12"/>
      <c r="BI278" s="12"/>
      <c r="BJ278" s="12"/>
    </row>
    <row r="279" spans="1:62" x14ac:dyDescent="0.25">
      <c r="A279"/>
      <c r="B279"/>
      <c r="C279"/>
      <c r="D279"/>
      <c r="E279"/>
      <c r="BA279"/>
      <c r="BB279"/>
      <c r="BC279"/>
      <c r="BD279"/>
      <c r="BE279"/>
      <c r="BF279" s="29"/>
      <c r="BG279" s="29"/>
      <c r="BH279" s="12"/>
      <c r="BI279" s="12"/>
      <c r="BJ279" s="12"/>
    </row>
    <row r="280" spans="1:62" x14ac:dyDescent="0.25">
      <c r="A280"/>
      <c r="B280"/>
      <c r="C280"/>
      <c r="D280"/>
      <c r="E280"/>
      <c r="F280" s="16"/>
      <c r="G280" s="16"/>
      <c r="BA280"/>
      <c r="BB280"/>
      <c r="BC280"/>
      <c r="BD280"/>
      <c r="BE280"/>
      <c r="BF280" s="16"/>
      <c r="BG280" s="16"/>
      <c r="BH280" s="12"/>
      <c r="BI280" s="12"/>
      <c r="BJ280" s="12"/>
    </row>
    <row r="281" spans="1:62" x14ac:dyDescent="0.25">
      <c r="A281"/>
      <c r="B281"/>
      <c r="C281"/>
      <c r="D281"/>
      <c r="E281"/>
      <c r="BA281"/>
      <c r="BB281"/>
      <c r="BC281"/>
      <c r="BD281"/>
      <c r="BE281"/>
      <c r="BF281" s="29"/>
      <c r="BG281" s="29"/>
      <c r="BH281" s="12"/>
      <c r="BI281" s="12"/>
      <c r="BJ281" s="12"/>
    </row>
    <row r="282" spans="1:62" x14ac:dyDescent="0.25">
      <c r="A282"/>
      <c r="B282"/>
      <c r="C282"/>
      <c r="D282"/>
      <c r="E282"/>
      <c r="BA282"/>
      <c r="BB282"/>
      <c r="BC282"/>
      <c r="BD282"/>
      <c r="BE282"/>
      <c r="BF282" s="29"/>
      <c r="BG282" s="29"/>
      <c r="BH282" s="12"/>
      <c r="BI282" s="12"/>
      <c r="BJ282" s="12"/>
    </row>
    <row r="283" spans="1:62" x14ac:dyDescent="0.25">
      <c r="A283"/>
      <c r="B283"/>
      <c r="C283"/>
      <c r="D283"/>
      <c r="E283"/>
      <c r="BA283"/>
      <c r="BB283"/>
      <c r="BC283"/>
      <c r="BD283"/>
      <c r="BE283"/>
      <c r="BF283" s="29"/>
      <c r="BG283" s="29"/>
      <c r="BH283" s="12"/>
      <c r="BI283" s="12"/>
      <c r="BJ283" s="12"/>
    </row>
    <row r="284" spans="1:62" x14ac:dyDescent="0.25">
      <c r="A284"/>
      <c r="B284"/>
      <c r="C284"/>
      <c r="D284"/>
      <c r="E284"/>
      <c r="BA284"/>
      <c r="BB284"/>
      <c r="BC284"/>
      <c r="BD284"/>
      <c r="BE284"/>
      <c r="BF284" s="29"/>
      <c r="BG284" s="29"/>
      <c r="BH284" s="12"/>
      <c r="BI284" s="12"/>
      <c r="BJ284" s="12"/>
    </row>
    <row r="285" spans="1:62" x14ac:dyDescent="0.25">
      <c r="A285"/>
      <c r="B285"/>
      <c r="C285"/>
      <c r="D285"/>
      <c r="E285"/>
      <c r="F285" s="16"/>
      <c r="BA285"/>
      <c r="BB285"/>
      <c r="BC285"/>
      <c r="BD285"/>
      <c r="BE285"/>
      <c r="BF285" s="16"/>
      <c r="BG285" s="29"/>
      <c r="BH285" s="12"/>
      <c r="BI285" s="12"/>
      <c r="BJ285" s="12"/>
    </row>
    <row r="286" spans="1:62" x14ac:dyDescent="0.25">
      <c r="A286"/>
      <c r="B286"/>
      <c r="C286"/>
      <c r="D286"/>
      <c r="E286"/>
      <c r="BA286"/>
      <c r="BB286"/>
      <c r="BC286"/>
      <c r="BD286"/>
      <c r="BE286"/>
      <c r="BF286" s="29"/>
      <c r="BG286" s="29"/>
      <c r="BH286" s="12"/>
      <c r="BI286" s="12"/>
      <c r="BJ286" s="12"/>
    </row>
    <row r="287" spans="1:62" x14ac:dyDescent="0.25">
      <c r="A287"/>
      <c r="B287"/>
      <c r="C287"/>
      <c r="D287"/>
      <c r="E287"/>
      <c r="BA287"/>
      <c r="BB287"/>
      <c r="BC287"/>
      <c r="BD287"/>
      <c r="BE287"/>
      <c r="BF287" s="29"/>
      <c r="BG287" s="29"/>
      <c r="BH287" s="12"/>
      <c r="BI287" s="12"/>
      <c r="BJ287" s="12"/>
    </row>
    <row r="288" spans="1:62" x14ac:dyDescent="0.25">
      <c r="A288"/>
      <c r="B288"/>
      <c r="C288"/>
      <c r="D288"/>
      <c r="E288"/>
      <c r="BA288"/>
      <c r="BB288"/>
      <c r="BC288"/>
      <c r="BD288"/>
      <c r="BE288"/>
      <c r="BF288" s="29"/>
      <c r="BG288" s="29"/>
      <c r="BH288" s="12"/>
      <c r="BI288" s="12"/>
      <c r="BJ288" s="12"/>
    </row>
    <row r="289" spans="1:62" x14ac:dyDescent="0.25">
      <c r="A289"/>
      <c r="B289"/>
      <c r="C289"/>
      <c r="D289"/>
      <c r="E289"/>
      <c r="BA289"/>
      <c r="BB289"/>
      <c r="BC289"/>
      <c r="BD289"/>
      <c r="BE289"/>
      <c r="BF289" s="29"/>
      <c r="BG289" s="29"/>
      <c r="BH289" s="12"/>
      <c r="BI289" s="12"/>
      <c r="BJ289" s="12"/>
    </row>
    <row r="290" spans="1:62" x14ac:dyDescent="0.25">
      <c r="A290"/>
      <c r="B290"/>
      <c r="C290"/>
      <c r="D290"/>
      <c r="E290"/>
      <c r="BA290"/>
      <c r="BB290"/>
      <c r="BC290"/>
      <c r="BD290"/>
      <c r="BE290"/>
      <c r="BF290" s="29"/>
      <c r="BG290" s="29"/>
      <c r="BH290" s="12"/>
      <c r="BI290" s="12"/>
      <c r="BJ290" s="12"/>
    </row>
    <row r="291" spans="1:62" x14ac:dyDescent="0.25">
      <c r="A291"/>
      <c r="B291"/>
      <c r="C291"/>
      <c r="D291"/>
      <c r="E291"/>
      <c r="F291" s="16"/>
      <c r="G291" s="16"/>
      <c r="BA291"/>
      <c r="BB291"/>
      <c r="BC291"/>
      <c r="BD291"/>
      <c r="BE291"/>
      <c r="BF291" s="16"/>
      <c r="BG291" s="16"/>
      <c r="BH291" s="12"/>
      <c r="BI291" s="12"/>
      <c r="BJ291" s="12"/>
    </row>
    <row r="292" spans="1:62" x14ac:dyDescent="0.25">
      <c r="A292"/>
      <c r="B292"/>
      <c r="C292"/>
      <c r="D292"/>
      <c r="E292"/>
      <c r="F292" s="16"/>
      <c r="G292" s="16"/>
      <c r="BA292"/>
      <c r="BB292"/>
      <c r="BC292"/>
      <c r="BD292"/>
      <c r="BE292"/>
      <c r="BF292" s="16"/>
      <c r="BG292" s="16"/>
      <c r="BH292" s="12"/>
      <c r="BI292" s="12"/>
      <c r="BJ292" s="12"/>
    </row>
    <row r="293" spans="1:62" x14ac:dyDescent="0.25">
      <c r="A293"/>
      <c r="B293"/>
      <c r="C293"/>
      <c r="D293"/>
      <c r="E293"/>
      <c r="F293" s="16"/>
      <c r="G293" s="16"/>
      <c r="BA293"/>
      <c r="BB293"/>
      <c r="BC293"/>
      <c r="BD293"/>
      <c r="BE293"/>
      <c r="BF293" s="16"/>
      <c r="BG293" s="16"/>
      <c r="BH293" s="12"/>
      <c r="BI293" s="12"/>
      <c r="BJ293" s="12"/>
    </row>
    <row r="294" spans="1:62" x14ac:dyDescent="0.25">
      <c r="A294"/>
      <c r="B294"/>
      <c r="C294"/>
      <c r="D294"/>
      <c r="E294"/>
      <c r="F294" s="16"/>
      <c r="G294" s="16"/>
      <c r="BA294"/>
      <c r="BB294"/>
      <c r="BC294"/>
      <c r="BD294"/>
      <c r="BE294"/>
      <c r="BF294" s="16"/>
      <c r="BG294" s="16"/>
      <c r="BH294" s="12"/>
      <c r="BI294" s="12"/>
      <c r="BJ294" s="12"/>
    </row>
    <row r="295" spans="1:62" x14ac:dyDescent="0.25">
      <c r="A295"/>
      <c r="B295"/>
      <c r="C295"/>
      <c r="D295"/>
      <c r="E295"/>
      <c r="BA295"/>
      <c r="BB295"/>
      <c r="BC295"/>
      <c r="BD295"/>
      <c r="BE295"/>
      <c r="BF295" s="29"/>
      <c r="BG295" s="29"/>
      <c r="BH295" s="12"/>
      <c r="BI295" s="12"/>
      <c r="BJ295" s="12"/>
    </row>
    <row r="296" spans="1:62" x14ac:dyDescent="0.25">
      <c r="A296"/>
      <c r="B296"/>
      <c r="C296"/>
      <c r="D296"/>
      <c r="E296"/>
      <c r="F296" s="16"/>
      <c r="G296" s="16"/>
      <c r="BA296"/>
      <c r="BB296"/>
      <c r="BC296"/>
      <c r="BD296"/>
      <c r="BE296"/>
      <c r="BF296" s="16"/>
      <c r="BG296" s="16"/>
      <c r="BH296" s="12"/>
      <c r="BI296" s="12"/>
      <c r="BJ296" s="12"/>
    </row>
    <row r="297" spans="1:62" x14ac:dyDescent="0.25">
      <c r="A297"/>
      <c r="B297"/>
      <c r="C297"/>
      <c r="D297"/>
      <c r="E297"/>
      <c r="BA297"/>
      <c r="BB297"/>
      <c r="BC297"/>
      <c r="BD297"/>
      <c r="BE297"/>
      <c r="BF297" s="29"/>
      <c r="BG297" s="29"/>
      <c r="BH297" s="12"/>
      <c r="BI297" s="12"/>
      <c r="BJ297" s="12"/>
    </row>
    <row r="298" spans="1:62" x14ac:dyDescent="0.25">
      <c r="A298"/>
      <c r="B298"/>
      <c r="C298"/>
      <c r="D298"/>
      <c r="E298"/>
      <c r="BA298"/>
      <c r="BB298"/>
      <c r="BC298"/>
      <c r="BD298"/>
      <c r="BE298"/>
      <c r="BF298" s="29"/>
      <c r="BG298" s="29"/>
      <c r="BH298" s="12"/>
      <c r="BI298" s="12"/>
      <c r="BJ298" s="12"/>
    </row>
    <row r="299" spans="1:62" x14ac:dyDescent="0.25">
      <c r="A299"/>
      <c r="B299"/>
      <c r="C299"/>
      <c r="D299"/>
      <c r="E299"/>
      <c r="BA299"/>
      <c r="BB299"/>
      <c r="BC299"/>
      <c r="BD299"/>
      <c r="BE299"/>
      <c r="BF299" s="29"/>
      <c r="BG299" s="29"/>
      <c r="BH299" s="12"/>
      <c r="BI299" s="12"/>
      <c r="BJ299" s="12"/>
    </row>
    <row r="300" spans="1:62" x14ac:dyDescent="0.25">
      <c r="A300"/>
      <c r="B300"/>
      <c r="C300"/>
      <c r="D300"/>
      <c r="E300"/>
      <c r="BA300"/>
      <c r="BB300"/>
      <c r="BC300"/>
      <c r="BD300"/>
      <c r="BE300"/>
      <c r="BF300" s="29"/>
      <c r="BG300" s="29"/>
      <c r="BH300" s="12"/>
      <c r="BI300" s="12"/>
      <c r="BJ300" s="12"/>
    </row>
    <row r="301" spans="1:62" x14ac:dyDescent="0.25">
      <c r="A301"/>
      <c r="B301"/>
      <c r="C301"/>
      <c r="D301"/>
      <c r="E301"/>
      <c r="F301" s="16"/>
      <c r="G301" s="16"/>
      <c r="BA301"/>
      <c r="BB301"/>
      <c r="BC301"/>
      <c r="BD301"/>
      <c r="BE301"/>
      <c r="BF301" s="16"/>
      <c r="BG301" s="16"/>
      <c r="BH301" s="12"/>
      <c r="BI301" s="12"/>
      <c r="BJ301" s="12"/>
    </row>
    <row r="302" spans="1:62" x14ac:dyDescent="0.25">
      <c r="A302"/>
      <c r="B302"/>
      <c r="C302"/>
      <c r="D302"/>
      <c r="E302"/>
      <c r="BA302"/>
      <c r="BB302"/>
      <c r="BC302"/>
      <c r="BD302"/>
      <c r="BE302"/>
      <c r="BF302" s="29"/>
      <c r="BG302" s="29"/>
      <c r="BH302" s="12"/>
      <c r="BI302" s="12"/>
      <c r="BJ302" s="12"/>
    </row>
    <row r="303" spans="1:62" x14ac:dyDescent="0.25">
      <c r="A303"/>
      <c r="B303"/>
      <c r="C303"/>
      <c r="D303"/>
      <c r="E303"/>
      <c r="BA303"/>
      <c r="BB303"/>
      <c r="BC303"/>
      <c r="BD303"/>
      <c r="BE303"/>
      <c r="BF303" s="29"/>
      <c r="BG303" s="29"/>
      <c r="BH303" s="12"/>
      <c r="BI303" s="12"/>
      <c r="BJ303" s="12"/>
    </row>
    <row r="304" spans="1:62" x14ac:dyDescent="0.25">
      <c r="A304"/>
      <c r="B304"/>
      <c r="C304"/>
      <c r="D304"/>
      <c r="E304"/>
      <c r="BA304"/>
      <c r="BB304"/>
      <c r="BC304"/>
      <c r="BD304"/>
      <c r="BE304"/>
      <c r="BF304" s="29"/>
      <c r="BG304" s="29"/>
      <c r="BH304" s="12"/>
      <c r="BI304" s="12"/>
      <c r="BJ304" s="12"/>
    </row>
    <row r="305" spans="1:62" x14ac:dyDescent="0.25">
      <c r="A305"/>
      <c r="B305"/>
      <c r="C305"/>
      <c r="D305"/>
      <c r="E305"/>
      <c r="BA305"/>
      <c r="BB305"/>
      <c r="BC305"/>
      <c r="BD305"/>
      <c r="BE305"/>
      <c r="BF305" s="29"/>
      <c r="BG305" s="29"/>
      <c r="BH305" s="12"/>
      <c r="BI305" s="12"/>
      <c r="BJ305" s="12"/>
    </row>
    <row r="306" spans="1:62" x14ac:dyDescent="0.25">
      <c r="A306"/>
      <c r="B306"/>
      <c r="C306"/>
      <c r="D306"/>
      <c r="E306"/>
      <c r="BA306"/>
      <c r="BB306"/>
      <c r="BC306"/>
      <c r="BD306"/>
      <c r="BE306"/>
      <c r="BF306" s="29"/>
      <c r="BG306" s="29"/>
      <c r="BH306" s="12"/>
      <c r="BI306" s="12"/>
      <c r="BJ306" s="12"/>
    </row>
    <row r="307" spans="1:62" x14ac:dyDescent="0.25">
      <c r="A307"/>
      <c r="B307"/>
      <c r="C307"/>
      <c r="D307"/>
      <c r="E307"/>
      <c r="BA307"/>
      <c r="BB307"/>
      <c r="BC307"/>
      <c r="BD307"/>
      <c r="BE307"/>
      <c r="BF307" s="29"/>
      <c r="BG307" s="29"/>
      <c r="BH307" s="12"/>
      <c r="BI307" s="12"/>
      <c r="BJ307" s="12"/>
    </row>
    <row r="308" spans="1:62" x14ac:dyDescent="0.25">
      <c r="A308"/>
      <c r="B308"/>
      <c r="C308"/>
      <c r="D308"/>
      <c r="E308"/>
      <c r="BA308"/>
      <c r="BB308"/>
      <c r="BC308"/>
      <c r="BD308"/>
      <c r="BE308"/>
      <c r="BF308" s="29"/>
      <c r="BG308" s="29"/>
      <c r="BH308" s="12"/>
      <c r="BI308" s="12"/>
      <c r="BJ308" s="12"/>
    </row>
    <row r="309" spans="1:62" x14ac:dyDescent="0.25">
      <c r="A309"/>
      <c r="B309"/>
      <c r="C309"/>
      <c r="D309"/>
      <c r="E309"/>
      <c r="BA309"/>
      <c r="BB309"/>
      <c r="BC309"/>
      <c r="BD309"/>
      <c r="BE309"/>
      <c r="BF309" s="29"/>
      <c r="BG309" s="29"/>
      <c r="BH309" s="12"/>
      <c r="BI309" s="12"/>
      <c r="BJ309" s="12"/>
    </row>
    <row r="310" spans="1:62" x14ac:dyDescent="0.25">
      <c r="A310"/>
      <c r="B310"/>
      <c r="C310"/>
      <c r="D310"/>
      <c r="E310"/>
      <c r="BA310"/>
      <c r="BB310"/>
      <c r="BC310"/>
      <c r="BD310"/>
      <c r="BE310"/>
      <c r="BF310" s="29"/>
      <c r="BG310" s="29"/>
      <c r="BH310" s="12"/>
      <c r="BI310" s="12"/>
      <c r="BJ310" s="12"/>
    </row>
    <row r="311" spans="1:62" x14ac:dyDescent="0.25">
      <c r="A311"/>
      <c r="B311"/>
      <c r="C311"/>
      <c r="D311"/>
      <c r="E311"/>
      <c r="BA311"/>
      <c r="BB311"/>
      <c r="BC311"/>
      <c r="BD311"/>
      <c r="BE311"/>
      <c r="BF311" s="29"/>
      <c r="BG311" s="29"/>
      <c r="BH311" s="12"/>
      <c r="BI311" s="12"/>
      <c r="BJ311" s="12"/>
    </row>
    <row r="312" spans="1:62" x14ac:dyDescent="0.25">
      <c r="A312"/>
      <c r="B312"/>
      <c r="C312"/>
      <c r="D312"/>
      <c r="E312"/>
      <c r="F312" s="16"/>
      <c r="G312" s="16"/>
      <c r="BA312"/>
      <c r="BB312"/>
      <c r="BC312"/>
      <c r="BD312"/>
      <c r="BE312"/>
      <c r="BF312" s="16"/>
      <c r="BG312" s="16"/>
      <c r="BH312" s="12"/>
      <c r="BI312" s="12"/>
      <c r="BJ312" s="12"/>
    </row>
    <row r="313" spans="1:62" x14ac:dyDescent="0.25">
      <c r="A313"/>
      <c r="B313"/>
      <c r="C313"/>
      <c r="D313"/>
      <c r="E313"/>
      <c r="F313" s="16"/>
      <c r="G313" s="16"/>
      <c r="BA313"/>
      <c r="BB313"/>
      <c r="BC313"/>
      <c r="BD313"/>
      <c r="BE313"/>
      <c r="BF313" s="16"/>
      <c r="BG313" s="16"/>
      <c r="BH313" s="12"/>
      <c r="BI313" s="12"/>
      <c r="BJ313" s="12"/>
    </row>
    <row r="314" spans="1:62" x14ac:dyDescent="0.25">
      <c r="A314"/>
      <c r="B314"/>
      <c r="C314"/>
      <c r="D314"/>
      <c r="E314"/>
      <c r="BA314"/>
      <c r="BB314"/>
      <c r="BC314"/>
      <c r="BD314"/>
      <c r="BE314"/>
      <c r="BF314" s="29"/>
      <c r="BG314" s="29"/>
      <c r="BH314" s="12"/>
      <c r="BI314" s="12"/>
      <c r="BJ314" s="12"/>
    </row>
    <row r="315" spans="1:62" x14ac:dyDescent="0.25">
      <c r="A315"/>
      <c r="B315"/>
      <c r="C315"/>
      <c r="D315"/>
      <c r="E315"/>
      <c r="F315" s="16"/>
      <c r="G315" s="16"/>
      <c r="BA315"/>
      <c r="BB315"/>
      <c r="BC315"/>
      <c r="BD315"/>
      <c r="BE315"/>
      <c r="BF315" s="16"/>
      <c r="BG315" s="16"/>
      <c r="BH315" s="12"/>
      <c r="BI315" s="12"/>
      <c r="BJ315" s="12"/>
    </row>
    <row r="316" spans="1:62" x14ac:dyDescent="0.25">
      <c r="A316"/>
      <c r="B316"/>
      <c r="C316"/>
      <c r="D316"/>
      <c r="E316"/>
      <c r="F316" s="16"/>
      <c r="G316" s="16"/>
      <c r="BA316"/>
      <c r="BB316"/>
      <c r="BC316"/>
      <c r="BD316"/>
      <c r="BE316"/>
      <c r="BF316" s="16"/>
      <c r="BG316" s="16"/>
      <c r="BH316" s="12"/>
      <c r="BI316" s="12"/>
      <c r="BJ316" s="12"/>
    </row>
    <row r="317" spans="1:62" x14ac:dyDescent="0.25">
      <c r="A317"/>
      <c r="B317"/>
      <c r="C317"/>
      <c r="D317"/>
      <c r="E317"/>
      <c r="BA317"/>
      <c r="BB317"/>
      <c r="BC317"/>
      <c r="BD317"/>
      <c r="BE317"/>
      <c r="BF317" s="29"/>
      <c r="BG317" s="29"/>
      <c r="BH317" s="12"/>
      <c r="BI317" s="12"/>
      <c r="BJ317" s="12"/>
    </row>
    <row r="318" spans="1:62" x14ac:dyDescent="0.25">
      <c r="A318"/>
      <c r="B318"/>
      <c r="C318"/>
      <c r="D318"/>
      <c r="E318"/>
      <c r="F318" s="16"/>
      <c r="G318" s="16"/>
      <c r="BA318"/>
      <c r="BB318"/>
      <c r="BC318"/>
      <c r="BD318"/>
      <c r="BE318"/>
      <c r="BF318" s="16"/>
      <c r="BG318" s="16"/>
      <c r="BH318" s="12"/>
      <c r="BI318" s="12"/>
      <c r="BJ318" s="12"/>
    </row>
    <row r="319" spans="1:62" x14ac:dyDescent="0.25">
      <c r="A319"/>
      <c r="B319"/>
      <c r="C319"/>
      <c r="D319"/>
      <c r="E319"/>
      <c r="BA319"/>
      <c r="BB319"/>
      <c r="BC319"/>
      <c r="BD319"/>
      <c r="BE319"/>
      <c r="BF319" s="29"/>
      <c r="BG319" s="29"/>
      <c r="BH319" s="12"/>
      <c r="BI319" s="12"/>
      <c r="BJ319" s="12"/>
    </row>
    <row r="320" spans="1:62" x14ac:dyDescent="0.25">
      <c r="A320"/>
      <c r="B320"/>
      <c r="C320"/>
      <c r="D320"/>
      <c r="E320"/>
      <c r="G320" s="16"/>
      <c r="BA320"/>
      <c r="BB320"/>
      <c r="BC320"/>
      <c r="BD320"/>
      <c r="BE320"/>
      <c r="BF320" s="29"/>
      <c r="BG320" s="16"/>
      <c r="BH320" s="12"/>
      <c r="BI320" s="12"/>
      <c r="BJ320" s="12"/>
    </row>
    <row r="321" spans="1:62" x14ac:dyDescent="0.25">
      <c r="A321"/>
      <c r="B321"/>
      <c r="C321"/>
      <c r="D321"/>
      <c r="E321"/>
      <c r="BA321"/>
      <c r="BB321"/>
      <c r="BC321"/>
      <c r="BD321"/>
      <c r="BE321"/>
      <c r="BF321" s="29"/>
      <c r="BG321" s="29"/>
      <c r="BH321" s="12"/>
      <c r="BI321" s="12"/>
      <c r="BJ321" s="12"/>
    </row>
    <row r="322" spans="1:62" x14ac:dyDescent="0.25">
      <c r="A322"/>
      <c r="B322"/>
      <c r="C322"/>
      <c r="D322"/>
      <c r="E322"/>
      <c r="K322" s="13"/>
      <c r="L322" s="13"/>
      <c r="BA322"/>
      <c r="BB322"/>
      <c r="BC322"/>
      <c r="BD322"/>
      <c r="BE322"/>
      <c r="BF322" s="29"/>
      <c r="BG322" s="29"/>
      <c r="BH322" s="12"/>
      <c r="BI322" s="12"/>
      <c r="BJ322" s="12"/>
    </row>
    <row r="323" spans="1:62" x14ac:dyDescent="0.25">
      <c r="A323"/>
      <c r="B323"/>
      <c r="C323"/>
      <c r="D323"/>
      <c r="E323"/>
      <c r="BA323"/>
      <c r="BB323"/>
      <c r="BC323"/>
      <c r="BD323"/>
      <c r="BE323"/>
      <c r="BF323" s="29"/>
      <c r="BG323" s="29"/>
      <c r="BH323" s="12"/>
      <c r="BI323" s="12"/>
      <c r="BJ323" s="12"/>
    </row>
    <row r="324" spans="1:62" x14ac:dyDescent="0.25">
      <c r="A324"/>
      <c r="B324"/>
      <c r="C324"/>
      <c r="D324"/>
      <c r="E324"/>
      <c r="BA324"/>
      <c r="BB324"/>
      <c r="BC324"/>
      <c r="BD324"/>
      <c r="BE324"/>
      <c r="BF324" s="29"/>
      <c r="BG324" s="29"/>
      <c r="BH324" s="12"/>
      <c r="BI324" s="12"/>
      <c r="BJ324" s="12"/>
    </row>
    <row r="325" spans="1:62" x14ac:dyDescent="0.25">
      <c r="A325"/>
      <c r="B325"/>
      <c r="C325"/>
      <c r="D325"/>
      <c r="E325"/>
      <c r="F325" s="16"/>
      <c r="G325" s="16"/>
      <c r="BA325"/>
      <c r="BB325"/>
      <c r="BC325"/>
      <c r="BD325"/>
      <c r="BE325"/>
      <c r="BF325" s="16"/>
      <c r="BG325" s="16"/>
      <c r="BH325" s="12"/>
      <c r="BI325" s="12"/>
      <c r="BJ325" s="12"/>
    </row>
    <row r="326" spans="1:62" x14ac:dyDescent="0.25">
      <c r="A326"/>
      <c r="B326"/>
      <c r="C326"/>
      <c r="D326"/>
      <c r="E326"/>
      <c r="BA326"/>
      <c r="BB326"/>
      <c r="BC326"/>
      <c r="BD326"/>
      <c r="BE326"/>
      <c r="BF326" s="29"/>
      <c r="BG326" s="29"/>
      <c r="BH326" s="12"/>
      <c r="BI326" s="12"/>
      <c r="BJ326" s="12"/>
    </row>
    <row r="327" spans="1:62" x14ac:dyDescent="0.25">
      <c r="A327"/>
      <c r="B327"/>
      <c r="C327"/>
      <c r="D327"/>
      <c r="E327"/>
      <c r="BA327"/>
      <c r="BB327"/>
      <c r="BC327"/>
      <c r="BD327"/>
      <c r="BE327"/>
      <c r="BF327" s="29"/>
      <c r="BG327" s="29"/>
      <c r="BH327" s="12"/>
      <c r="BI327" s="12"/>
      <c r="BJ327" s="12"/>
    </row>
    <row r="328" spans="1:62" x14ac:dyDescent="0.25">
      <c r="A328"/>
      <c r="B328"/>
      <c r="C328"/>
      <c r="D328"/>
      <c r="E328"/>
      <c r="BA328"/>
      <c r="BB328"/>
      <c r="BC328"/>
      <c r="BD328"/>
      <c r="BE328"/>
      <c r="BF328" s="29"/>
      <c r="BG328" s="29"/>
      <c r="BH328" s="12"/>
      <c r="BI328" s="12"/>
      <c r="BJ328" s="12"/>
    </row>
    <row r="329" spans="1:62" x14ac:dyDescent="0.25">
      <c r="A329"/>
      <c r="B329"/>
      <c r="C329"/>
      <c r="D329"/>
      <c r="E329"/>
      <c r="BA329"/>
      <c r="BB329"/>
      <c r="BC329"/>
      <c r="BD329"/>
      <c r="BE329"/>
      <c r="BF329" s="29"/>
      <c r="BG329" s="29"/>
      <c r="BH329" s="12"/>
      <c r="BI329" s="12"/>
      <c r="BJ329" s="12"/>
    </row>
    <row r="330" spans="1:62" x14ac:dyDescent="0.25">
      <c r="A330"/>
      <c r="B330"/>
      <c r="C330"/>
      <c r="D330"/>
      <c r="E330"/>
      <c r="BA330"/>
      <c r="BB330"/>
      <c r="BC330"/>
      <c r="BD330"/>
      <c r="BE330"/>
      <c r="BF330" s="29"/>
      <c r="BG330" s="29"/>
      <c r="BH330" s="12"/>
      <c r="BI330" s="12"/>
      <c r="BJ330" s="12"/>
    </row>
    <row r="331" spans="1:62" x14ac:dyDescent="0.25">
      <c r="A331"/>
      <c r="B331"/>
      <c r="C331"/>
      <c r="D331"/>
      <c r="E331"/>
      <c r="BA331"/>
      <c r="BB331"/>
      <c r="BC331"/>
      <c r="BD331"/>
      <c r="BE331"/>
      <c r="BF331" s="29"/>
      <c r="BG331" s="29"/>
      <c r="BH331" s="12"/>
      <c r="BI331" s="12"/>
      <c r="BJ331" s="12"/>
    </row>
    <row r="332" spans="1:62" x14ac:dyDescent="0.25">
      <c r="A332"/>
      <c r="B332"/>
      <c r="C332"/>
      <c r="D332"/>
      <c r="E332"/>
      <c r="BA332"/>
      <c r="BB332"/>
      <c r="BC332"/>
      <c r="BD332"/>
      <c r="BE332"/>
      <c r="BF332" s="29"/>
      <c r="BG332" s="29"/>
      <c r="BH332" s="12"/>
      <c r="BI332" s="12"/>
      <c r="BJ332" s="12"/>
    </row>
    <row r="333" spans="1:62" x14ac:dyDescent="0.25">
      <c r="A333"/>
      <c r="B333"/>
      <c r="C333"/>
      <c r="D333"/>
      <c r="E333"/>
      <c r="F333" s="16"/>
      <c r="BA333"/>
      <c r="BB333"/>
      <c r="BC333"/>
      <c r="BD333"/>
      <c r="BE333"/>
      <c r="BF333" s="16"/>
      <c r="BG333" s="29"/>
      <c r="BH333" s="12"/>
      <c r="BI333" s="12"/>
      <c r="BJ333" s="12"/>
    </row>
    <row r="334" spans="1:62" x14ac:dyDescent="0.25">
      <c r="A334"/>
      <c r="B334"/>
      <c r="C334"/>
      <c r="D334"/>
      <c r="E334"/>
      <c r="BA334"/>
      <c r="BB334"/>
      <c r="BC334"/>
      <c r="BD334"/>
      <c r="BE334"/>
      <c r="BF334" s="29"/>
      <c r="BG334" s="29"/>
      <c r="BH334" s="12"/>
      <c r="BI334" s="12"/>
      <c r="BJ334" s="12"/>
    </row>
    <row r="335" spans="1:62" x14ac:dyDescent="0.25">
      <c r="A335"/>
      <c r="B335"/>
      <c r="C335"/>
      <c r="D335"/>
      <c r="E335"/>
      <c r="F335" s="16"/>
      <c r="G335" s="16"/>
      <c r="BA335"/>
      <c r="BB335"/>
      <c r="BC335"/>
      <c r="BD335"/>
      <c r="BE335"/>
      <c r="BF335" s="16"/>
      <c r="BG335" s="16"/>
      <c r="BH335" s="12"/>
      <c r="BI335" s="12"/>
      <c r="BJ335" s="12"/>
    </row>
    <row r="336" spans="1:62" x14ac:dyDescent="0.25">
      <c r="A336"/>
      <c r="B336"/>
      <c r="C336"/>
      <c r="D336"/>
      <c r="E336"/>
      <c r="BA336"/>
      <c r="BB336"/>
      <c r="BC336"/>
      <c r="BD336"/>
      <c r="BE336"/>
      <c r="BF336" s="29"/>
      <c r="BG336" s="29"/>
      <c r="BH336" s="12"/>
      <c r="BI336" s="12"/>
      <c r="BJ336" s="12"/>
    </row>
    <row r="337" spans="1:62" x14ac:dyDescent="0.25">
      <c r="A337"/>
      <c r="B337"/>
      <c r="C337"/>
      <c r="D337"/>
      <c r="E337"/>
      <c r="BA337"/>
      <c r="BB337"/>
      <c r="BC337"/>
      <c r="BD337"/>
      <c r="BE337"/>
      <c r="BF337" s="29"/>
      <c r="BG337" s="29"/>
      <c r="BH337" s="12"/>
      <c r="BI337" s="12"/>
      <c r="BJ337" s="12"/>
    </row>
    <row r="338" spans="1:62" x14ac:dyDescent="0.25">
      <c r="A338"/>
      <c r="B338"/>
      <c r="C338"/>
      <c r="D338"/>
      <c r="E338"/>
      <c r="F338" s="16"/>
      <c r="G338" s="16"/>
      <c r="BA338"/>
      <c r="BB338"/>
      <c r="BC338"/>
      <c r="BD338"/>
      <c r="BE338"/>
      <c r="BF338" s="16"/>
      <c r="BG338" s="16"/>
      <c r="BH338" s="12"/>
      <c r="BI338" s="12"/>
      <c r="BJ338" s="12"/>
    </row>
    <row r="339" spans="1:62" x14ac:dyDescent="0.25">
      <c r="A339"/>
      <c r="B339"/>
      <c r="C339"/>
      <c r="D339"/>
      <c r="E339"/>
      <c r="BA339"/>
      <c r="BB339"/>
      <c r="BC339"/>
      <c r="BD339"/>
      <c r="BE339"/>
      <c r="BF339" s="29"/>
      <c r="BG339" s="29"/>
      <c r="BH339" s="12"/>
      <c r="BI339" s="12"/>
      <c r="BJ339" s="12"/>
    </row>
    <row r="340" spans="1:62" x14ac:dyDescent="0.25">
      <c r="A340"/>
      <c r="B340"/>
      <c r="C340"/>
      <c r="D340"/>
      <c r="E340"/>
      <c r="BA340"/>
      <c r="BB340"/>
      <c r="BC340"/>
      <c r="BD340"/>
      <c r="BE340"/>
      <c r="BF340" s="29"/>
      <c r="BG340" s="29"/>
      <c r="BH340" s="12"/>
      <c r="BI340" s="12"/>
      <c r="BJ340" s="12"/>
    </row>
    <row r="341" spans="1:62" x14ac:dyDescent="0.25">
      <c r="A341"/>
      <c r="B341"/>
      <c r="C341"/>
      <c r="D341"/>
      <c r="E341"/>
      <c r="BA341"/>
      <c r="BB341"/>
      <c r="BC341"/>
      <c r="BD341"/>
      <c r="BE341"/>
      <c r="BF341" s="29"/>
      <c r="BG341" s="29"/>
      <c r="BH341" s="12"/>
      <c r="BI341" s="12"/>
      <c r="BJ341" s="12"/>
    </row>
    <row r="342" spans="1:62" x14ac:dyDescent="0.25">
      <c r="A342"/>
      <c r="B342"/>
      <c r="C342"/>
      <c r="D342"/>
      <c r="E342"/>
      <c r="BA342"/>
      <c r="BB342"/>
      <c r="BC342"/>
      <c r="BD342"/>
      <c r="BE342"/>
      <c r="BF342" s="29"/>
      <c r="BG342" s="29"/>
      <c r="BH342" s="12"/>
      <c r="BI342" s="12"/>
      <c r="BJ342" s="12"/>
    </row>
    <row r="343" spans="1:62" x14ac:dyDescent="0.25">
      <c r="A343"/>
      <c r="B343"/>
      <c r="C343"/>
      <c r="D343"/>
      <c r="E343"/>
      <c r="BA343"/>
      <c r="BB343"/>
      <c r="BC343"/>
      <c r="BD343"/>
      <c r="BE343"/>
      <c r="BF343" s="29"/>
      <c r="BG343" s="29"/>
      <c r="BH343" s="12"/>
      <c r="BI343" s="12"/>
      <c r="BJ343" s="12"/>
    </row>
    <row r="344" spans="1:62" x14ac:dyDescent="0.25">
      <c r="A344"/>
      <c r="B344"/>
      <c r="C344"/>
      <c r="D344"/>
      <c r="E344"/>
      <c r="BA344"/>
      <c r="BB344"/>
      <c r="BC344"/>
      <c r="BD344"/>
      <c r="BE344"/>
      <c r="BF344" s="29"/>
      <c r="BG344" s="29"/>
      <c r="BH344" s="12"/>
      <c r="BI344" s="12"/>
      <c r="BJ344" s="12"/>
    </row>
    <row r="345" spans="1:62" x14ac:dyDescent="0.25">
      <c r="A345"/>
      <c r="B345"/>
      <c r="C345"/>
      <c r="D345"/>
      <c r="E345"/>
      <c r="G345" s="16"/>
      <c r="BA345"/>
      <c r="BB345"/>
      <c r="BC345"/>
      <c r="BD345"/>
      <c r="BE345"/>
      <c r="BF345" s="29"/>
      <c r="BG345" s="16"/>
      <c r="BH345" s="12"/>
      <c r="BI345" s="12"/>
      <c r="BJ345" s="12"/>
    </row>
    <row r="346" spans="1:62" x14ac:dyDescent="0.25">
      <c r="A346"/>
      <c r="B346"/>
      <c r="C346"/>
      <c r="D346"/>
      <c r="E346"/>
      <c r="BA346"/>
      <c r="BB346"/>
      <c r="BC346"/>
      <c r="BD346"/>
      <c r="BE346"/>
      <c r="BF346" s="29"/>
      <c r="BG346" s="29"/>
      <c r="BH346" s="12"/>
      <c r="BI346" s="12"/>
      <c r="BJ346" s="12"/>
    </row>
    <row r="347" spans="1:62" x14ac:dyDescent="0.25">
      <c r="A347"/>
      <c r="B347"/>
      <c r="C347"/>
      <c r="D347"/>
      <c r="E347"/>
      <c r="BA347"/>
      <c r="BB347"/>
      <c r="BC347"/>
      <c r="BD347"/>
      <c r="BE347"/>
      <c r="BF347" s="29"/>
      <c r="BG347" s="29"/>
      <c r="BH347" s="12"/>
      <c r="BI347" s="12"/>
      <c r="BJ347" s="12"/>
    </row>
    <row r="348" spans="1:62" x14ac:dyDescent="0.25">
      <c r="A348"/>
      <c r="B348"/>
      <c r="C348"/>
      <c r="D348"/>
      <c r="E348"/>
      <c r="F348" s="16"/>
      <c r="G348" s="16"/>
      <c r="BA348"/>
      <c r="BB348"/>
      <c r="BC348"/>
      <c r="BD348"/>
      <c r="BE348"/>
      <c r="BF348" s="16"/>
      <c r="BG348" s="16"/>
      <c r="BH348" s="12"/>
      <c r="BI348" s="12"/>
      <c r="BJ348" s="12"/>
    </row>
    <row r="349" spans="1:62" x14ac:dyDescent="0.25">
      <c r="A349"/>
      <c r="B349"/>
      <c r="C349"/>
      <c r="D349"/>
      <c r="E349"/>
      <c r="BA349"/>
      <c r="BB349"/>
      <c r="BC349"/>
      <c r="BD349"/>
      <c r="BE349"/>
      <c r="BF349" s="29"/>
      <c r="BG349" s="29"/>
      <c r="BH349" s="12"/>
      <c r="BI349" s="12"/>
      <c r="BJ349" s="12"/>
    </row>
    <row r="350" spans="1:62" x14ac:dyDescent="0.25">
      <c r="A350"/>
      <c r="B350"/>
      <c r="C350"/>
      <c r="D350"/>
      <c r="E350"/>
      <c r="BA350"/>
      <c r="BB350"/>
      <c r="BC350"/>
      <c r="BD350"/>
      <c r="BE350"/>
      <c r="BF350" s="29"/>
      <c r="BG350" s="29"/>
      <c r="BH350" s="12"/>
      <c r="BI350" s="12"/>
      <c r="BJ350" s="12"/>
    </row>
    <row r="351" spans="1:62" x14ac:dyDescent="0.25">
      <c r="A351"/>
      <c r="B351"/>
      <c r="C351"/>
      <c r="D351"/>
      <c r="E351"/>
      <c r="BA351"/>
      <c r="BB351"/>
      <c r="BC351"/>
      <c r="BD351"/>
      <c r="BE351"/>
      <c r="BF351" s="29"/>
      <c r="BG351" s="29"/>
      <c r="BH351" s="12"/>
      <c r="BI351" s="12"/>
      <c r="BJ351" s="12"/>
    </row>
    <row r="352" spans="1:62" x14ac:dyDescent="0.25">
      <c r="A352"/>
      <c r="B352"/>
      <c r="C352"/>
      <c r="D352"/>
      <c r="E352"/>
      <c r="F352" s="16"/>
      <c r="G352" s="16"/>
      <c r="BA352"/>
      <c r="BB352"/>
      <c r="BC352"/>
      <c r="BD352"/>
      <c r="BE352"/>
      <c r="BF352" s="16"/>
      <c r="BG352" s="16"/>
      <c r="BH352" s="12"/>
      <c r="BI352" s="12"/>
      <c r="BJ352" s="12"/>
    </row>
    <row r="353" spans="1:62" x14ac:dyDescent="0.25">
      <c r="A353"/>
      <c r="B353"/>
      <c r="C353"/>
      <c r="D353"/>
      <c r="E353"/>
      <c r="BA353"/>
      <c r="BB353"/>
      <c r="BC353"/>
      <c r="BD353"/>
      <c r="BE353"/>
      <c r="BF353" s="29"/>
      <c r="BG353" s="29"/>
      <c r="BH353" s="12"/>
      <c r="BI353" s="12"/>
      <c r="BJ353" s="12"/>
    </row>
    <row r="354" spans="1:62" x14ac:dyDescent="0.25">
      <c r="A354"/>
      <c r="B354"/>
      <c r="C354"/>
      <c r="D354"/>
      <c r="E354"/>
      <c r="BA354"/>
      <c r="BB354"/>
      <c r="BC354"/>
      <c r="BD354"/>
      <c r="BE354"/>
      <c r="BF354" s="29"/>
      <c r="BG354" s="29"/>
      <c r="BH354" s="12"/>
      <c r="BI354" s="12"/>
      <c r="BJ354" s="12"/>
    </row>
    <row r="355" spans="1:62" x14ac:dyDescent="0.25">
      <c r="A355"/>
      <c r="B355"/>
      <c r="C355"/>
      <c r="D355"/>
      <c r="E355"/>
      <c r="BA355"/>
      <c r="BB355"/>
      <c r="BC355"/>
      <c r="BD355"/>
      <c r="BE355"/>
      <c r="BF355" s="29"/>
      <c r="BG355" s="29"/>
      <c r="BH355" s="12"/>
      <c r="BI355" s="12"/>
      <c r="BJ355" s="12"/>
    </row>
    <row r="356" spans="1:62" x14ac:dyDescent="0.25">
      <c r="A356"/>
      <c r="B356"/>
      <c r="C356"/>
      <c r="D356"/>
      <c r="E356"/>
      <c r="F356" s="16"/>
      <c r="G356" s="16"/>
      <c r="BA356"/>
      <c r="BB356"/>
      <c r="BC356"/>
      <c r="BD356"/>
      <c r="BE356"/>
      <c r="BF356" s="16"/>
      <c r="BG356" s="16"/>
      <c r="BH356" s="12"/>
      <c r="BI356" s="12"/>
      <c r="BJ356" s="12"/>
    </row>
    <row r="357" spans="1:62" x14ac:dyDescent="0.25">
      <c r="A357"/>
      <c r="B357"/>
      <c r="C357"/>
      <c r="D357"/>
      <c r="E357"/>
      <c r="BA357"/>
      <c r="BB357"/>
      <c r="BC357"/>
      <c r="BD357"/>
      <c r="BE357"/>
      <c r="BF357" s="29"/>
      <c r="BG357" s="29"/>
      <c r="BH357" s="12"/>
      <c r="BI357" s="12"/>
      <c r="BJ357" s="12"/>
    </row>
    <row r="358" spans="1:62" x14ac:dyDescent="0.25">
      <c r="A358"/>
      <c r="B358"/>
      <c r="C358"/>
      <c r="D358"/>
      <c r="E358"/>
      <c r="BA358"/>
      <c r="BB358"/>
      <c r="BC358"/>
      <c r="BD358"/>
      <c r="BE358"/>
      <c r="BF358" s="29"/>
      <c r="BG358" s="29"/>
      <c r="BH358" s="12"/>
      <c r="BI358" s="12"/>
      <c r="BJ358" s="12"/>
    </row>
    <row r="359" spans="1:62" x14ac:dyDescent="0.25">
      <c r="A359"/>
      <c r="B359"/>
      <c r="C359"/>
      <c r="D359"/>
      <c r="E359"/>
      <c r="BA359"/>
      <c r="BB359"/>
      <c r="BC359"/>
      <c r="BD359"/>
      <c r="BE359"/>
      <c r="BF359" s="29"/>
      <c r="BG359" s="29"/>
      <c r="BH359" s="12"/>
      <c r="BI359" s="12"/>
      <c r="BJ359" s="12"/>
    </row>
    <row r="360" spans="1:62" x14ac:dyDescent="0.25">
      <c r="A360"/>
      <c r="B360"/>
      <c r="C360"/>
      <c r="D360"/>
      <c r="E360"/>
      <c r="F360" s="16"/>
      <c r="G360" s="16"/>
      <c r="P360" s="28"/>
      <c r="Q360" s="28"/>
      <c r="R360" s="28"/>
      <c r="BA360"/>
      <c r="BB360"/>
      <c r="BC360"/>
      <c r="BD360"/>
      <c r="BE360"/>
      <c r="BF360" s="16"/>
      <c r="BG360" s="16"/>
      <c r="BH360" s="12"/>
      <c r="BI360" s="12"/>
      <c r="BJ360" s="12"/>
    </row>
    <row r="361" spans="1:62" x14ac:dyDescent="0.25">
      <c r="A361"/>
      <c r="B361"/>
      <c r="C361"/>
      <c r="D361"/>
      <c r="E361"/>
      <c r="BA361"/>
      <c r="BB361"/>
      <c r="BC361"/>
      <c r="BD361"/>
      <c r="BE361"/>
      <c r="BF361" s="29"/>
      <c r="BG361" s="29"/>
      <c r="BH361" s="12"/>
      <c r="BI361" s="12"/>
      <c r="BJ361" s="12"/>
    </row>
    <row r="362" spans="1:62" x14ac:dyDescent="0.25">
      <c r="A362"/>
      <c r="B362"/>
      <c r="C362"/>
      <c r="D362"/>
      <c r="E362"/>
      <c r="BA362"/>
      <c r="BB362"/>
      <c r="BC362"/>
      <c r="BD362"/>
      <c r="BE362"/>
      <c r="BF362" s="29"/>
      <c r="BG362" s="29"/>
      <c r="BH362" s="12"/>
      <c r="BI362" s="12"/>
      <c r="BJ362" s="12"/>
    </row>
    <row r="363" spans="1:62" x14ac:dyDescent="0.25">
      <c r="A363"/>
      <c r="B363"/>
      <c r="C363"/>
      <c r="D363"/>
      <c r="E363"/>
      <c r="BA363"/>
      <c r="BB363"/>
      <c r="BC363"/>
      <c r="BD363"/>
      <c r="BE363"/>
      <c r="BF363" s="29"/>
      <c r="BG363" s="29"/>
      <c r="BH363" s="12"/>
      <c r="BI363" s="12"/>
      <c r="BJ363" s="12"/>
    </row>
    <row r="364" spans="1:62" x14ac:dyDescent="0.25">
      <c r="A364"/>
      <c r="B364"/>
      <c r="C364"/>
      <c r="D364"/>
      <c r="E364"/>
      <c r="BA364"/>
      <c r="BB364"/>
      <c r="BC364"/>
      <c r="BD364"/>
      <c r="BE364"/>
      <c r="BF364" s="29"/>
      <c r="BG364" s="29"/>
      <c r="BH364" s="12"/>
      <c r="BI364" s="12"/>
      <c r="BJ364" s="12"/>
    </row>
    <row r="365" spans="1:62" x14ac:dyDescent="0.25">
      <c r="A365"/>
      <c r="B365"/>
      <c r="C365"/>
      <c r="D365"/>
      <c r="E365"/>
      <c r="BA365"/>
      <c r="BB365"/>
      <c r="BC365"/>
      <c r="BD365"/>
      <c r="BE365"/>
      <c r="BF365" s="29"/>
      <c r="BG365" s="29"/>
      <c r="BH365" s="12"/>
      <c r="BI365" s="12"/>
      <c r="BJ365" s="12"/>
    </row>
    <row r="366" spans="1:62" x14ac:dyDescent="0.25">
      <c r="A366"/>
      <c r="B366"/>
      <c r="C366"/>
      <c r="D366"/>
      <c r="E366"/>
      <c r="BA366"/>
      <c r="BB366"/>
      <c r="BC366"/>
      <c r="BD366"/>
      <c r="BE366"/>
      <c r="BF366" s="29"/>
      <c r="BG366" s="29"/>
      <c r="BH366" s="12"/>
      <c r="BI366" s="12"/>
      <c r="BJ366" s="12"/>
    </row>
    <row r="367" spans="1:62" x14ac:dyDescent="0.25">
      <c r="A367"/>
      <c r="B367"/>
      <c r="C367"/>
      <c r="D367"/>
      <c r="E367"/>
      <c r="BA367"/>
      <c r="BB367"/>
      <c r="BC367"/>
      <c r="BD367"/>
      <c r="BE367"/>
      <c r="BF367" s="29"/>
      <c r="BG367" s="29"/>
      <c r="BH367" s="12"/>
      <c r="BI367" s="12"/>
      <c r="BJ367" s="12"/>
    </row>
    <row r="368" spans="1:62" x14ac:dyDescent="0.25">
      <c r="A368"/>
      <c r="B368"/>
      <c r="C368"/>
      <c r="D368"/>
      <c r="E368"/>
      <c r="F368" s="16"/>
      <c r="G368" s="16"/>
      <c r="BA368"/>
      <c r="BB368"/>
      <c r="BC368"/>
      <c r="BD368"/>
      <c r="BE368"/>
      <c r="BF368" s="16"/>
      <c r="BG368" s="16"/>
      <c r="BH368" s="12"/>
      <c r="BI368" s="12"/>
      <c r="BJ368" s="12"/>
    </row>
    <row r="369" spans="1:62" x14ac:dyDescent="0.25">
      <c r="A369"/>
      <c r="B369"/>
      <c r="C369"/>
      <c r="D369"/>
      <c r="E369"/>
      <c r="BA369"/>
      <c r="BB369"/>
      <c r="BC369"/>
      <c r="BD369"/>
      <c r="BE369"/>
      <c r="BF369" s="29"/>
      <c r="BG369" s="29"/>
      <c r="BH369" s="12"/>
      <c r="BI369" s="12"/>
      <c r="BJ369" s="12"/>
    </row>
    <row r="370" spans="1:62" x14ac:dyDescent="0.25">
      <c r="A370"/>
      <c r="B370"/>
      <c r="C370"/>
      <c r="D370"/>
      <c r="E370"/>
      <c r="BA370"/>
      <c r="BB370"/>
      <c r="BC370"/>
      <c r="BD370"/>
      <c r="BE370"/>
      <c r="BF370" s="29"/>
      <c r="BG370" s="29"/>
      <c r="BH370" s="12"/>
      <c r="BI370" s="12"/>
      <c r="BJ370" s="12"/>
    </row>
    <row r="371" spans="1:62" x14ac:dyDescent="0.25">
      <c r="A371"/>
      <c r="B371"/>
      <c r="C371"/>
      <c r="D371"/>
      <c r="E371"/>
      <c r="F371" s="16"/>
      <c r="G371" s="16"/>
      <c r="BA371"/>
      <c r="BB371"/>
      <c r="BC371"/>
      <c r="BD371"/>
      <c r="BE371"/>
      <c r="BF371" s="16"/>
      <c r="BG371" s="16"/>
      <c r="BH371" s="12"/>
      <c r="BI371" s="12"/>
      <c r="BJ371" s="12"/>
    </row>
    <row r="372" spans="1:62" x14ac:dyDescent="0.25">
      <c r="A372"/>
      <c r="B372"/>
      <c r="C372"/>
      <c r="D372"/>
      <c r="E372"/>
      <c r="F372" s="16"/>
      <c r="G372" s="16"/>
      <c r="BA372"/>
      <c r="BB372"/>
      <c r="BC372"/>
      <c r="BD372"/>
      <c r="BE372"/>
      <c r="BF372" s="16"/>
      <c r="BG372" s="16"/>
      <c r="BH372" s="12"/>
      <c r="BI372" s="12"/>
      <c r="BJ372" s="12"/>
    </row>
    <row r="373" spans="1:62" x14ac:dyDescent="0.25">
      <c r="A373"/>
      <c r="B373"/>
      <c r="C373"/>
      <c r="D373"/>
      <c r="E373"/>
      <c r="BA373"/>
      <c r="BB373"/>
      <c r="BC373"/>
      <c r="BD373"/>
      <c r="BE373"/>
      <c r="BF373" s="29"/>
      <c r="BG373" s="29"/>
      <c r="BH373" s="12"/>
      <c r="BI373" s="12"/>
      <c r="BJ373" s="12"/>
    </row>
    <row r="374" spans="1:62" x14ac:dyDescent="0.25">
      <c r="A374"/>
      <c r="B374"/>
      <c r="C374"/>
      <c r="D374"/>
      <c r="E374"/>
      <c r="G374" s="16"/>
      <c r="P374" s="28"/>
      <c r="Q374" s="28"/>
      <c r="R374" s="28"/>
      <c r="BA374"/>
      <c r="BB374"/>
      <c r="BC374"/>
      <c r="BD374"/>
      <c r="BE374"/>
      <c r="BF374" s="29"/>
      <c r="BG374" s="16"/>
      <c r="BH374" s="12"/>
      <c r="BI374" s="12"/>
      <c r="BJ374" s="12"/>
    </row>
    <row r="375" spans="1:62" x14ac:dyDescent="0.25">
      <c r="A375"/>
      <c r="B375"/>
      <c r="C375"/>
      <c r="D375"/>
      <c r="E375"/>
      <c r="BA375"/>
      <c r="BB375"/>
      <c r="BC375"/>
      <c r="BD375"/>
      <c r="BE375"/>
      <c r="BF375" s="29"/>
      <c r="BG375" s="29"/>
      <c r="BH375" s="12"/>
      <c r="BI375" s="12"/>
      <c r="BJ375" s="12"/>
    </row>
    <row r="376" spans="1:62" x14ac:dyDescent="0.25">
      <c r="A376"/>
      <c r="B376"/>
      <c r="C376"/>
      <c r="D376"/>
      <c r="E376"/>
      <c r="BA376"/>
      <c r="BB376"/>
      <c r="BC376"/>
      <c r="BD376"/>
      <c r="BE376"/>
      <c r="BF376" s="29"/>
      <c r="BG376" s="29"/>
      <c r="BH376" s="12"/>
      <c r="BI376" s="12"/>
      <c r="BJ376" s="12"/>
    </row>
    <row r="377" spans="1:62" x14ac:dyDescent="0.25">
      <c r="A377"/>
      <c r="B377"/>
      <c r="C377"/>
      <c r="D377"/>
      <c r="E377"/>
      <c r="F377" s="16"/>
      <c r="G377" s="16"/>
      <c r="BA377"/>
      <c r="BB377"/>
      <c r="BC377"/>
      <c r="BD377"/>
      <c r="BE377"/>
      <c r="BF377" s="16"/>
      <c r="BG377" s="16"/>
      <c r="BH377" s="12"/>
      <c r="BI377" s="12"/>
      <c r="BJ377" s="12"/>
    </row>
    <row r="378" spans="1:62" x14ac:dyDescent="0.25">
      <c r="A378"/>
      <c r="B378"/>
      <c r="C378"/>
      <c r="D378"/>
      <c r="E378"/>
      <c r="BA378"/>
      <c r="BB378"/>
      <c r="BC378"/>
      <c r="BD378"/>
      <c r="BE378"/>
      <c r="BF378" s="29"/>
      <c r="BG378" s="29"/>
      <c r="BH378" s="12"/>
      <c r="BI378" s="12"/>
      <c r="BJ378" s="12"/>
    </row>
    <row r="379" spans="1:62" x14ac:dyDescent="0.25">
      <c r="A379"/>
      <c r="B379"/>
      <c r="C379"/>
      <c r="D379"/>
      <c r="E379"/>
      <c r="F379" s="16"/>
      <c r="G379" s="16"/>
      <c r="BA379"/>
      <c r="BB379"/>
      <c r="BC379"/>
      <c r="BD379"/>
      <c r="BE379"/>
      <c r="BF379" s="16"/>
      <c r="BG379" s="16"/>
      <c r="BH379" s="12"/>
      <c r="BI379" s="12"/>
      <c r="BJ379" s="12"/>
    </row>
    <row r="380" spans="1:62" x14ac:dyDescent="0.25">
      <c r="A380"/>
      <c r="B380"/>
      <c r="C380"/>
      <c r="D380"/>
      <c r="E380"/>
      <c r="F380" s="16"/>
      <c r="G380" s="16"/>
      <c r="BA380"/>
      <c r="BB380"/>
      <c r="BC380"/>
      <c r="BD380"/>
      <c r="BE380"/>
      <c r="BF380" s="16"/>
      <c r="BG380" s="16"/>
      <c r="BH380" s="12"/>
      <c r="BI380" s="12"/>
      <c r="BJ380" s="12"/>
    </row>
    <row r="381" spans="1:62" x14ac:dyDescent="0.25">
      <c r="A381"/>
      <c r="B381"/>
      <c r="C381"/>
      <c r="D381"/>
      <c r="E381"/>
      <c r="F381" s="16"/>
      <c r="G381" s="16"/>
      <c r="BA381"/>
      <c r="BB381"/>
      <c r="BC381"/>
      <c r="BD381"/>
      <c r="BE381"/>
      <c r="BF381" s="16"/>
      <c r="BG381" s="16"/>
      <c r="BH381" s="12"/>
      <c r="BI381" s="12"/>
      <c r="BJ381" s="12"/>
    </row>
    <row r="382" spans="1:62" x14ac:dyDescent="0.25">
      <c r="A382"/>
      <c r="B382"/>
      <c r="C382"/>
      <c r="D382"/>
      <c r="E382"/>
      <c r="BA382"/>
      <c r="BB382"/>
      <c r="BC382"/>
      <c r="BD382"/>
      <c r="BE382"/>
      <c r="BF382" s="29"/>
      <c r="BG382" s="29"/>
      <c r="BH382" s="12"/>
      <c r="BI382" s="12"/>
      <c r="BJ382" s="12"/>
    </row>
    <row r="383" spans="1:62" x14ac:dyDescent="0.25">
      <c r="A383"/>
      <c r="B383"/>
      <c r="C383"/>
      <c r="D383"/>
      <c r="E383"/>
      <c r="BA383"/>
      <c r="BB383"/>
      <c r="BC383"/>
      <c r="BD383"/>
      <c r="BE383"/>
      <c r="BF383" s="29"/>
      <c r="BG383" s="29"/>
      <c r="BH383" s="12"/>
      <c r="BI383" s="12"/>
      <c r="BJ383" s="12"/>
    </row>
    <row r="384" spans="1:62" x14ac:dyDescent="0.25">
      <c r="A384"/>
      <c r="B384"/>
      <c r="C384"/>
      <c r="D384"/>
      <c r="E384"/>
      <c r="F384" s="16"/>
      <c r="G384" s="16"/>
      <c r="BA384"/>
      <c r="BB384"/>
      <c r="BC384"/>
      <c r="BD384"/>
      <c r="BE384"/>
      <c r="BF384" s="16"/>
      <c r="BG384" s="16"/>
      <c r="BH384" s="12"/>
      <c r="BI384" s="12"/>
      <c r="BJ384" s="12"/>
    </row>
    <row r="385" spans="1:62" x14ac:dyDescent="0.25">
      <c r="A385"/>
      <c r="B385"/>
      <c r="C385"/>
      <c r="D385"/>
      <c r="E385"/>
      <c r="BA385"/>
      <c r="BB385"/>
      <c r="BC385"/>
      <c r="BD385"/>
      <c r="BE385"/>
      <c r="BF385" s="29"/>
      <c r="BG385" s="29"/>
      <c r="BH385" s="12"/>
      <c r="BI385" s="12"/>
      <c r="BJ385" s="12"/>
    </row>
    <row r="386" spans="1:62" x14ac:dyDescent="0.25">
      <c r="A386"/>
      <c r="B386"/>
      <c r="C386"/>
      <c r="D386"/>
      <c r="E386"/>
      <c r="BA386"/>
      <c r="BB386"/>
      <c r="BC386"/>
      <c r="BD386"/>
      <c r="BE386"/>
      <c r="BF386" s="29"/>
      <c r="BG386" s="29"/>
      <c r="BH386" s="12"/>
      <c r="BI386" s="12"/>
      <c r="BJ386" s="12"/>
    </row>
    <row r="387" spans="1:62" x14ac:dyDescent="0.25">
      <c r="A387"/>
      <c r="B387"/>
      <c r="C387"/>
      <c r="D387"/>
      <c r="E387"/>
      <c r="F387" s="16"/>
      <c r="BA387"/>
      <c r="BB387"/>
      <c r="BC387"/>
      <c r="BD387"/>
      <c r="BE387"/>
      <c r="BF387" s="16"/>
      <c r="BG387" s="29"/>
      <c r="BH387" s="12"/>
      <c r="BI387" s="12"/>
      <c r="BJ387" s="12"/>
    </row>
    <row r="388" spans="1:62" x14ac:dyDescent="0.25">
      <c r="A388"/>
      <c r="B388"/>
      <c r="C388"/>
      <c r="D388"/>
      <c r="E388"/>
      <c r="BA388"/>
      <c r="BB388"/>
      <c r="BC388"/>
      <c r="BD388"/>
      <c r="BE388"/>
      <c r="BF388" s="29"/>
      <c r="BG388" s="29"/>
      <c r="BH388" s="12"/>
      <c r="BI388" s="12"/>
      <c r="BJ388" s="12"/>
    </row>
    <row r="389" spans="1:62" x14ac:dyDescent="0.25">
      <c r="A389"/>
      <c r="B389"/>
      <c r="C389"/>
      <c r="D389"/>
      <c r="E389"/>
      <c r="BA389"/>
      <c r="BB389"/>
      <c r="BC389"/>
      <c r="BD389"/>
      <c r="BE389"/>
      <c r="BF389" s="29"/>
      <c r="BG389" s="29"/>
      <c r="BH389" s="12"/>
      <c r="BI389" s="12"/>
      <c r="BJ389" s="12"/>
    </row>
    <row r="390" spans="1:62" x14ac:dyDescent="0.25">
      <c r="A390"/>
      <c r="B390"/>
      <c r="C390"/>
      <c r="D390"/>
      <c r="E390"/>
      <c r="BA390"/>
      <c r="BB390"/>
      <c r="BC390"/>
      <c r="BD390"/>
      <c r="BE390"/>
      <c r="BF390" s="29"/>
      <c r="BG390" s="29"/>
      <c r="BH390" s="12"/>
      <c r="BI390" s="12"/>
      <c r="BJ390" s="12"/>
    </row>
    <row r="391" spans="1:62" x14ac:dyDescent="0.25">
      <c r="A391"/>
      <c r="B391"/>
      <c r="C391"/>
      <c r="D391"/>
      <c r="E391"/>
      <c r="F391" s="16"/>
      <c r="G391" s="16"/>
      <c r="BA391"/>
      <c r="BB391"/>
      <c r="BC391"/>
      <c r="BD391"/>
      <c r="BE391"/>
      <c r="BF391" s="16"/>
      <c r="BG391" s="16"/>
      <c r="BH391" s="12"/>
      <c r="BI391" s="12"/>
      <c r="BJ391" s="12"/>
    </row>
    <row r="392" spans="1:62" x14ac:dyDescent="0.25">
      <c r="A392"/>
      <c r="B392"/>
      <c r="C392"/>
      <c r="D392"/>
      <c r="E392"/>
      <c r="BA392"/>
      <c r="BB392"/>
      <c r="BC392"/>
      <c r="BD392"/>
      <c r="BE392"/>
      <c r="BF392" s="29"/>
      <c r="BG392" s="29"/>
      <c r="BH392" s="12"/>
      <c r="BI392" s="12"/>
      <c r="BJ392" s="12"/>
    </row>
    <row r="393" spans="1:62" x14ac:dyDescent="0.25">
      <c r="A393"/>
      <c r="B393"/>
      <c r="C393"/>
      <c r="D393"/>
      <c r="E393"/>
      <c r="F393" s="16"/>
      <c r="G393" s="16"/>
      <c r="BA393"/>
      <c r="BB393"/>
      <c r="BC393"/>
      <c r="BD393"/>
      <c r="BE393"/>
      <c r="BF393" s="16"/>
      <c r="BG393" s="16"/>
      <c r="BH393" s="12"/>
      <c r="BI393" s="12"/>
      <c r="BJ393" s="12"/>
    </row>
    <row r="394" spans="1:62" x14ac:dyDescent="0.25">
      <c r="A394"/>
      <c r="B394"/>
      <c r="C394"/>
      <c r="D394"/>
      <c r="E394"/>
      <c r="BA394"/>
      <c r="BB394"/>
      <c r="BC394"/>
      <c r="BD394"/>
      <c r="BE394"/>
      <c r="BF394" s="29"/>
      <c r="BG394" s="29"/>
      <c r="BH394" s="12"/>
      <c r="BI394" s="12"/>
      <c r="BJ394" s="12"/>
    </row>
    <row r="395" spans="1:62" x14ac:dyDescent="0.25">
      <c r="A395"/>
      <c r="B395"/>
      <c r="C395"/>
      <c r="D395"/>
      <c r="E395"/>
      <c r="BA395"/>
      <c r="BB395"/>
      <c r="BC395"/>
      <c r="BD395"/>
      <c r="BE395"/>
      <c r="BF395" s="29"/>
      <c r="BG395" s="29"/>
      <c r="BH395" s="12"/>
      <c r="BI395" s="12"/>
      <c r="BJ395" s="12"/>
    </row>
    <row r="396" spans="1:62" x14ac:dyDescent="0.25">
      <c r="A396"/>
      <c r="B396"/>
      <c r="C396"/>
      <c r="D396"/>
      <c r="E396"/>
      <c r="BA396"/>
      <c r="BB396"/>
      <c r="BC396"/>
      <c r="BD396"/>
      <c r="BE396"/>
      <c r="BF396" s="29"/>
      <c r="BG396" s="29"/>
      <c r="BH396" s="12"/>
      <c r="BI396" s="12"/>
      <c r="BJ396" s="12"/>
    </row>
    <row r="397" spans="1:62" x14ac:dyDescent="0.25">
      <c r="A397"/>
      <c r="B397"/>
      <c r="C397"/>
      <c r="D397"/>
      <c r="E397"/>
      <c r="BA397"/>
      <c r="BB397"/>
      <c r="BC397"/>
      <c r="BD397"/>
      <c r="BE397"/>
      <c r="BF397" s="29"/>
      <c r="BG397" s="29"/>
      <c r="BH397" s="12"/>
      <c r="BI397" s="12"/>
      <c r="BJ397" s="12"/>
    </row>
    <row r="398" spans="1:62" x14ac:dyDescent="0.25">
      <c r="A398"/>
      <c r="B398"/>
      <c r="C398"/>
      <c r="D398"/>
      <c r="E398"/>
      <c r="BA398"/>
      <c r="BB398"/>
      <c r="BC398"/>
      <c r="BD398"/>
      <c r="BE398"/>
      <c r="BF398" s="29"/>
      <c r="BG398" s="29"/>
      <c r="BH398" s="12"/>
      <c r="BI398" s="12"/>
      <c r="BJ398" s="12"/>
    </row>
    <row r="399" spans="1:62" x14ac:dyDescent="0.25">
      <c r="A399"/>
      <c r="B399"/>
      <c r="C399"/>
      <c r="D399"/>
      <c r="E399"/>
      <c r="BA399"/>
      <c r="BB399"/>
      <c r="BC399"/>
      <c r="BD399"/>
      <c r="BE399"/>
      <c r="BF399" s="29"/>
      <c r="BG399" s="29"/>
      <c r="BH399" s="12"/>
      <c r="BI399" s="12"/>
      <c r="BJ399" s="12"/>
    </row>
    <row r="400" spans="1:62" x14ac:dyDescent="0.25">
      <c r="A400"/>
      <c r="B400"/>
      <c r="C400"/>
      <c r="D400"/>
      <c r="E400"/>
      <c r="BA400"/>
      <c r="BB400"/>
      <c r="BC400"/>
      <c r="BD400"/>
      <c r="BE400"/>
      <c r="BF400" s="29"/>
      <c r="BG400" s="29"/>
      <c r="BH400" s="12"/>
      <c r="BI400" s="12"/>
      <c r="BJ400" s="12"/>
    </row>
    <row r="401" spans="1:62" x14ac:dyDescent="0.25">
      <c r="A401"/>
      <c r="B401"/>
      <c r="C401"/>
      <c r="D401"/>
      <c r="E401"/>
      <c r="F401" s="16"/>
      <c r="BA401"/>
      <c r="BB401"/>
      <c r="BC401"/>
      <c r="BD401"/>
      <c r="BE401"/>
      <c r="BF401" s="16"/>
      <c r="BG401" s="29"/>
      <c r="BH401" s="12"/>
      <c r="BI401" s="12"/>
      <c r="BJ401" s="12"/>
    </row>
    <row r="402" spans="1:62" x14ac:dyDescent="0.25">
      <c r="A402"/>
      <c r="B402"/>
      <c r="C402"/>
      <c r="D402"/>
      <c r="E402"/>
      <c r="F402" s="16"/>
      <c r="G402" s="16"/>
      <c r="BA402"/>
      <c r="BB402"/>
      <c r="BC402"/>
      <c r="BD402"/>
      <c r="BE402"/>
      <c r="BF402" s="16"/>
      <c r="BG402" s="16"/>
      <c r="BH402" s="12"/>
      <c r="BI402" s="12"/>
      <c r="BJ402" s="12"/>
    </row>
    <row r="403" spans="1:62" x14ac:dyDescent="0.25">
      <c r="A403"/>
      <c r="B403"/>
      <c r="C403"/>
      <c r="D403"/>
      <c r="E403"/>
      <c r="F403" s="16"/>
      <c r="G403" s="16"/>
      <c r="BA403"/>
      <c r="BB403"/>
      <c r="BC403"/>
      <c r="BD403"/>
      <c r="BE403"/>
      <c r="BF403" s="16"/>
      <c r="BG403" s="16"/>
      <c r="BH403" s="12"/>
      <c r="BI403" s="12"/>
      <c r="BJ403" s="12"/>
    </row>
    <row r="404" spans="1:62" x14ac:dyDescent="0.25">
      <c r="A404"/>
      <c r="B404"/>
      <c r="C404"/>
      <c r="D404"/>
      <c r="E404"/>
      <c r="BA404"/>
      <c r="BB404"/>
      <c r="BC404"/>
      <c r="BD404"/>
      <c r="BE404"/>
      <c r="BF404" s="29"/>
      <c r="BG404" s="29"/>
      <c r="BH404" s="12"/>
      <c r="BI404" s="12"/>
      <c r="BJ404" s="12"/>
    </row>
    <row r="405" spans="1:62" x14ac:dyDescent="0.25">
      <c r="A405"/>
      <c r="B405"/>
      <c r="C405"/>
      <c r="D405"/>
      <c r="E405"/>
      <c r="F405" s="16"/>
      <c r="G405" s="16"/>
      <c r="BA405"/>
      <c r="BB405"/>
      <c r="BC405"/>
      <c r="BD405"/>
      <c r="BE405"/>
      <c r="BF405" s="16"/>
      <c r="BG405" s="16"/>
      <c r="BH405" s="12"/>
      <c r="BI405" s="12"/>
      <c r="BJ405" s="12"/>
    </row>
    <row r="406" spans="1:62" x14ac:dyDescent="0.25">
      <c r="A406"/>
      <c r="B406"/>
      <c r="C406"/>
      <c r="D406"/>
      <c r="E406"/>
      <c r="F406" s="16"/>
      <c r="BA406"/>
      <c r="BB406"/>
      <c r="BC406"/>
      <c r="BD406"/>
      <c r="BE406"/>
      <c r="BF406" s="16"/>
      <c r="BG406" s="29"/>
      <c r="BH406" s="12"/>
      <c r="BI406" s="12"/>
      <c r="BJ406" s="12"/>
    </row>
    <row r="407" spans="1:62" x14ac:dyDescent="0.25">
      <c r="A407"/>
      <c r="B407"/>
      <c r="C407"/>
      <c r="D407"/>
      <c r="E407"/>
      <c r="K407" s="13"/>
      <c r="L407" s="13"/>
      <c r="BA407"/>
      <c r="BB407"/>
      <c r="BC407"/>
      <c r="BD407"/>
      <c r="BE407"/>
      <c r="BF407" s="29"/>
      <c r="BG407" s="29"/>
      <c r="BH407" s="12"/>
      <c r="BI407" s="12"/>
      <c r="BJ407" s="12"/>
    </row>
    <row r="408" spans="1:62" x14ac:dyDescent="0.25">
      <c r="A408"/>
      <c r="B408"/>
      <c r="C408"/>
      <c r="D408"/>
      <c r="E408"/>
      <c r="BA408"/>
      <c r="BB408"/>
      <c r="BC408"/>
      <c r="BD408"/>
      <c r="BE408"/>
      <c r="BF408" s="29"/>
      <c r="BG408" s="29"/>
      <c r="BH408" s="12"/>
      <c r="BI408" s="12"/>
      <c r="BJ408" s="12"/>
    </row>
    <row r="409" spans="1:62" x14ac:dyDescent="0.25">
      <c r="A409"/>
      <c r="B409"/>
      <c r="C409"/>
      <c r="D409"/>
      <c r="E409"/>
      <c r="F409" s="16"/>
      <c r="G409" s="16"/>
      <c r="BA409"/>
      <c r="BB409"/>
      <c r="BC409"/>
      <c r="BD409"/>
      <c r="BE409"/>
      <c r="BF409" s="16"/>
      <c r="BG409" s="16"/>
      <c r="BH409" s="12"/>
      <c r="BI409" s="12"/>
      <c r="BJ409" s="12"/>
    </row>
    <row r="410" spans="1:62" x14ac:dyDescent="0.25">
      <c r="A410"/>
      <c r="B410"/>
      <c r="C410"/>
      <c r="D410"/>
      <c r="E410"/>
      <c r="F410" s="16"/>
      <c r="BA410"/>
      <c r="BB410"/>
      <c r="BC410"/>
      <c r="BD410"/>
      <c r="BE410"/>
      <c r="BF410" s="16"/>
      <c r="BG410" s="29"/>
      <c r="BH410" s="12"/>
      <c r="BI410" s="12"/>
      <c r="BJ410" s="12"/>
    </row>
    <row r="411" spans="1:62" x14ac:dyDescent="0.25">
      <c r="A411"/>
      <c r="B411"/>
      <c r="C411"/>
      <c r="D411"/>
      <c r="E411"/>
      <c r="F411" s="16"/>
      <c r="BA411"/>
      <c r="BB411"/>
      <c r="BC411"/>
      <c r="BD411"/>
      <c r="BE411"/>
      <c r="BF411" s="16"/>
      <c r="BG411" s="29"/>
      <c r="BH411" s="12"/>
      <c r="BI411" s="12"/>
      <c r="BJ411" s="12"/>
    </row>
    <row r="412" spans="1:62" x14ac:dyDescent="0.25">
      <c r="A412"/>
      <c r="B412"/>
      <c r="C412"/>
      <c r="D412"/>
      <c r="E412"/>
      <c r="F412" s="16"/>
      <c r="G412" s="16"/>
      <c r="BA412"/>
      <c r="BB412"/>
      <c r="BC412"/>
      <c r="BD412"/>
      <c r="BE412"/>
      <c r="BF412" s="16"/>
      <c r="BG412" s="16"/>
      <c r="BH412" s="12"/>
      <c r="BI412" s="12"/>
      <c r="BJ412" s="12"/>
    </row>
    <row r="413" spans="1:62" x14ac:dyDescent="0.25">
      <c r="A413"/>
      <c r="B413"/>
      <c r="C413"/>
      <c r="D413"/>
      <c r="E413"/>
      <c r="BA413"/>
      <c r="BB413"/>
      <c r="BC413"/>
      <c r="BD413"/>
      <c r="BE413"/>
      <c r="BF413" s="29"/>
      <c r="BG413" s="29"/>
      <c r="BH413" s="12"/>
      <c r="BI413" s="12"/>
      <c r="BJ413" s="12"/>
    </row>
    <row r="414" spans="1:62" x14ac:dyDescent="0.25">
      <c r="A414"/>
      <c r="B414"/>
      <c r="C414"/>
      <c r="D414"/>
      <c r="E414"/>
      <c r="BA414"/>
      <c r="BB414"/>
      <c r="BC414"/>
      <c r="BD414"/>
      <c r="BE414"/>
      <c r="BF414" s="29"/>
      <c r="BG414" s="29"/>
      <c r="BH414" s="12"/>
      <c r="BI414" s="12"/>
      <c r="BJ414" s="12"/>
    </row>
    <row r="415" spans="1:62" x14ac:dyDescent="0.25">
      <c r="A415"/>
      <c r="B415"/>
      <c r="C415"/>
      <c r="D415"/>
      <c r="E415"/>
      <c r="BA415"/>
      <c r="BB415"/>
      <c r="BC415"/>
      <c r="BD415"/>
      <c r="BE415"/>
      <c r="BF415" s="29"/>
      <c r="BG415" s="29"/>
      <c r="BH415" s="12"/>
      <c r="BI415" s="12"/>
      <c r="BJ415" s="12"/>
    </row>
    <row r="416" spans="1:62" x14ac:dyDescent="0.25">
      <c r="A416"/>
      <c r="B416"/>
      <c r="C416"/>
      <c r="D416"/>
      <c r="E416"/>
      <c r="BA416"/>
      <c r="BB416"/>
      <c r="BC416"/>
      <c r="BD416"/>
      <c r="BE416"/>
      <c r="BF416" s="29"/>
      <c r="BG416" s="29"/>
      <c r="BH416" s="12"/>
      <c r="BI416" s="12"/>
      <c r="BJ416" s="12"/>
    </row>
    <row r="417" spans="1:62" x14ac:dyDescent="0.25">
      <c r="A417"/>
      <c r="B417"/>
      <c r="C417"/>
      <c r="D417"/>
      <c r="E417"/>
      <c r="BA417"/>
      <c r="BB417"/>
      <c r="BC417"/>
      <c r="BD417"/>
      <c r="BE417"/>
      <c r="BF417" s="29"/>
      <c r="BG417" s="29"/>
      <c r="BH417" s="12"/>
      <c r="BI417" s="12"/>
      <c r="BJ417" s="12"/>
    </row>
    <row r="418" spans="1:62" x14ac:dyDescent="0.25">
      <c r="A418"/>
      <c r="B418"/>
      <c r="C418"/>
      <c r="D418"/>
      <c r="E418"/>
      <c r="F418" s="16"/>
      <c r="G418" s="16"/>
      <c r="BA418"/>
      <c r="BB418"/>
      <c r="BC418"/>
      <c r="BD418"/>
      <c r="BE418"/>
      <c r="BF418" s="16"/>
      <c r="BG418" s="16"/>
      <c r="BH418" s="12"/>
      <c r="BI418" s="12"/>
      <c r="BJ418" s="12"/>
    </row>
    <row r="419" spans="1:62" x14ac:dyDescent="0.25">
      <c r="A419"/>
      <c r="B419"/>
      <c r="C419"/>
      <c r="D419"/>
      <c r="E419"/>
      <c r="BA419"/>
      <c r="BB419"/>
      <c r="BC419"/>
      <c r="BD419"/>
      <c r="BE419"/>
      <c r="BF419" s="29"/>
      <c r="BG419" s="29"/>
      <c r="BH419" s="12"/>
      <c r="BI419" s="12"/>
      <c r="BJ419" s="12"/>
    </row>
    <row r="420" spans="1:62" x14ac:dyDescent="0.25">
      <c r="A420"/>
      <c r="B420"/>
      <c r="C420"/>
      <c r="D420"/>
      <c r="E420"/>
      <c r="BA420"/>
      <c r="BB420"/>
      <c r="BC420"/>
      <c r="BD420"/>
      <c r="BE420"/>
      <c r="BF420" s="29"/>
      <c r="BG420" s="29"/>
      <c r="BH420" s="12"/>
      <c r="BI420" s="12"/>
      <c r="BJ420" s="12"/>
    </row>
    <row r="421" spans="1:62" x14ac:dyDescent="0.25">
      <c r="A421"/>
      <c r="B421"/>
      <c r="C421"/>
      <c r="D421"/>
      <c r="E421"/>
      <c r="BA421"/>
      <c r="BB421"/>
      <c r="BC421"/>
      <c r="BD421"/>
      <c r="BE421"/>
      <c r="BF421" s="29"/>
      <c r="BG421" s="29"/>
      <c r="BH421" s="12"/>
      <c r="BI421" s="12"/>
      <c r="BJ421" s="12"/>
    </row>
    <row r="422" spans="1:62" x14ac:dyDescent="0.25">
      <c r="A422"/>
      <c r="B422"/>
      <c r="C422"/>
      <c r="D422"/>
      <c r="E422"/>
      <c r="BA422"/>
      <c r="BB422"/>
      <c r="BC422"/>
      <c r="BD422"/>
      <c r="BE422"/>
      <c r="BF422" s="29"/>
      <c r="BG422" s="29"/>
      <c r="BH422" s="12"/>
      <c r="BI422" s="12"/>
      <c r="BJ422" s="12"/>
    </row>
    <row r="423" spans="1:62" x14ac:dyDescent="0.25">
      <c r="A423"/>
      <c r="B423"/>
      <c r="C423"/>
      <c r="D423"/>
      <c r="E423"/>
      <c r="F423" s="16"/>
      <c r="G423" s="16"/>
      <c r="BA423"/>
      <c r="BB423"/>
      <c r="BC423"/>
      <c r="BD423"/>
      <c r="BE423"/>
      <c r="BF423" s="16"/>
      <c r="BG423" s="16"/>
      <c r="BH423" s="12"/>
      <c r="BI423" s="12"/>
      <c r="BJ423" s="12"/>
    </row>
    <row r="424" spans="1:62" x14ac:dyDescent="0.25">
      <c r="A424"/>
      <c r="B424"/>
      <c r="C424"/>
      <c r="D424"/>
      <c r="E424"/>
      <c r="BA424"/>
      <c r="BB424"/>
      <c r="BC424"/>
      <c r="BD424"/>
      <c r="BE424"/>
      <c r="BF424" s="29"/>
      <c r="BG424" s="29"/>
      <c r="BH424" s="12"/>
      <c r="BI424" s="12"/>
      <c r="BJ424" s="12"/>
    </row>
    <row r="425" spans="1:62" x14ac:dyDescent="0.25">
      <c r="A425"/>
      <c r="B425"/>
      <c r="C425"/>
      <c r="D425"/>
      <c r="E425"/>
      <c r="BA425"/>
      <c r="BB425"/>
      <c r="BC425"/>
      <c r="BD425"/>
      <c r="BE425"/>
      <c r="BF425" s="29"/>
      <c r="BG425" s="29"/>
      <c r="BH425" s="12"/>
      <c r="BI425" s="12"/>
      <c r="BJ425" s="12"/>
    </row>
    <row r="426" spans="1:62" x14ac:dyDescent="0.25">
      <c r="A426"/>
      <c r="B426"/>
      <c r="C426"/>
      <c r="D426"/>
      <c r="E426"/>
      <c r="BA426"/>
      <c r="BB426"/>
      <c r="BC426"/>
      <c r="BD426"/>
      <c r="BE426"/>
      <c r="BF426" s="29"/>
      <c r="BG426" s="29"/>
      <c r="BH426" s="12"/>
      <c r="BI426" s="12"/>
      <c r="BJ426" s="12"/>
    </row>
    <row r="427" spans="1:62" x14ac:dyDescent="0.25">
      <c r="A427"/>
      <c r="B427"/>
      <c r="C427"/>
      <c r="D427"/>
      <c r="E427"/>
      <c r="F427" s="16"/>
      <c r="G427" s="16"/>
      <c r="BA427"/>
      <c r="BB427"/>
      <c r="BC427"/>
      <c r="BD427"/>
      <c r="BE427"/>
      <c r="BF427" s="16"/>
      <c r="BG427" s="16"/>
      <c r="BH427" s="12"/>
      <c r="BI427" s="12"/>
      <c r="BJ427" s="12"/>
    </row>
    <row r="428" spans="1:62" ht="15" customHeight="1" x14ac:dyDescent="0.25">
      <c r="A428"/>
      <c r="B428"/>
      <c r="C428"/>
      <c r="D428"/>
      <c r="E428"/>
      <c r="BA428"/>
      <c r="BB428"/>
      <c r="BC428"/>
      <c r="BD428"/>
      <c r="BE428"/>
      <c r="BF428" s="29"/>
      <c r="BG428" s="29"/>
      <c r="BH428" s="12"/>
      <c r="BI428" s="12"/>
      <c r="BJ428" s="12"/>
    </row>
    <row r="429" spans="1:62" x14ac:dyDescent="0.25">
      <c r="A429"/>
      <c r="B429"/>
      <c r="C429"/>
      <c r="D429"/>
      <c r="E429"/>
      <c r="BA429"/>
      <c r="BB429"/>
      <c r="BC429"/>
      <c r="BD429"/>
      <c r="BE429"/>
      <c r="BF429" s="29"/>
      <c r="BG429" s="29"/>
      <c r="BH429" s="12"/>
      <c r="BI429" s="12"/>
      <c r="BJ429" s="12"/>
    </row>
    <row r="430" spans="1:62" x14ac:dyDescent="0.25">
      <c r="A430"/>
      <c r="B430"/>
      <c r="C430"/>
      <c r="D430"/>
      <c r="E430"/>
      <c r="BA430"/>
      <c r="BB430"/>
      <c r="BC430"/>
      <c r="BD430"/>
      <c r="BE430"/>
      <c r="BF430" s="29"/>
      <c r="BG430" s="29"/>
      <c r="BH430" s="12"/>
      <c r="BI430" s="12"/>
      <c r="BJ430" s="12"/>
    </row>
    <row r="431" spans="1:62" x14ac:dyDescent="0.25">
      <c r="A431"/>
      <c r="B431"/>
      <c r="C431"/>
      <c r="D431"/>
      <c r="E431"/>
      <c r="BA431"/>
      <c r="BB431"/>
      <c r="BC431"/>
      <c r="BD431"/>
      <c r="BE431"/>
      <c r="BF431" s="29"/>
      <c r="BG431" s="29"/>
      <c r="BH431" s="12"/>
      <c r="BI431" s="12"/>
      <c r="BJ431" s="12"/>
    </row>
    <row r="432" spans="1:62" x14ac:dyDescent="0.25">
      <c r="A432"/>
      <c r="B432"/>
      <c r="C432"/>
      <c r="D432"/>
      <c r="E432"/>
      <c r="BA432"/>
      <c r="BB432"/>
      <c r="BC432"/>
      <c r="BD432"/>
      <c r="BE432"/>
      <c r="BF432" s="29"/>
      <c r="BG432" s="29"/>
      <c r="BH432" s="12"/>
      <c r="BI432" s="12"/>
      <c r="BJ432" s="12"/>
    </row>
    <row r="433" spans="1:62" x14ac:dyDescent="0.25">
      <c r="A433"/>
      <c r="B433"/>
      <c r="C433"/>
      <c r="D433"/>
      <c r="E433"/>
      <c r="BA433"/>
      <c r="BB433"/>
      <c r="BC433"/>
      <c r="BD433"/>
      <c r="BE433"/>
      <c r="BF433" s="29"/>
      <c r="BG433" s="29"/>
      <c r="BH433" s="12"/>
      <c r="BI433" s="12"/>
      <c r="BJ433" s="12"/>
    </row>
    <row r="434" spans="1:62" x14ac:dyDescent="0.25">
      <c r="A434"/>
      <c r="B434"/>
      <c r="C434"/>
      <c r="D434"/>
      <c r="E434"/>
      <c r="F434" s="16"/>
      <c r="G434" s="16"/>
      <c r="BA434"/>
      <c r="BB434"/>
      <c r="BC434"/>
      <c r="BD434"/>
      <c r="BE434"/>
      <c r="BF434" s="16"/>
      <c r="BG434" s="16"/>
      <c r="BH434" s="12"/>
      <c r="BI434" s="12"/>
      <c r="BJ434" s="12"/>
    </row>
    <row r="435" spans="1:62" x14ac:dyDescent="0.25">
      <c r="A435"/>
      <c r="B435"/>
      <c r="C435"/>
      <c r="D435"/>
      <c r="E435"/>
      <c r="BA435"/>
      <c r="BB435"/>
      <c r="BC435"/>
      <c r="BD435"/>
      <c r="BE435"/>
      <c r="BF435" s="29"/>
      <c r="BG435" s="29"/>
      <c r="BH435" s="12"/>
      <c r="BI435" s="12"/>
      <c r="BJ435" s="12"/>
    </row>
    <row r="436" spans="1:62" x14ac:dyDescent="0.25">
      <c r="A436"/>
      <c r="B436"/>
      <c r="C436"/>
      <c r="D436"/>
      <c r="E436"/>
      <c r="F436" s="16"/>
      <c r="G436" s="16"/>
      <c r="P436" s="28"/>
      <c r="Q436" s="28"/>
      <c r="R436" s="28"/>
      <c r="BA436"/>
      <c r="BB436"/>
      <c r="BC436"/>
      <c r="BD436"/>
      <c r="BE436"/>
      <c r="BF436" s="16"/>
      <c r="BG436" s="16"/>
      <c r="BH436" s="12"/>
      <c r="BI436" s="12"/>
      <c r="BJ436" s="12"/>
    </row>
    <row r="437" spans="1:62" x14ac:dyDescent="0.25">
      <c r="A437"/>
      <c r="B437"/>
      <c r="C437"/>
      <c r="D437"/>
      <c r="E437"/>
      <c r="F437" s="16"/>
      <c r="G437" s="16"/>
      <c r="BA437"/>
      <c r="BB437"/>
      <c r="BC437"/>
      <c r="BD437"/>
      <c r="BE437"/>
      <c r="BF437" s="16"/>
      <c r="BG437" s="16"/>
      <c r="BH437" s="12"/>
      <c r="BI437" s="12"/>
      <c r="BJ437" s="12"/>
    </row>
    <row r="438" spans="1:62" x14ac:dyDescent="0.25">
      <c r="A438"/>
      <c r="B438"/>
      <c r="C438"/>
      <c r="D438"/>
      <c r="E438"/>
      <c r="F438" s="16"/>
      <c r="G438" s="16"/>
      <c r="BA438"/>
      <c r="BB438"/>
      <c r="BC438"/>
      <c r="BD438"/>
      <c r="BE438"/>
      <c r="BF438" s="16"/>
      <c r="BG438" s="16"/>
      <c r="BH438" s="12"/>
      <c r="BI438" s="12"/>
      <c r="BJ438" s="12"/>
    </row>
    <row r="439" spans="1:62" x14ac:dyDescent="0.25">
      <c r="A439"/>
      <c r="B439"/>
      <c r="C439"/>
      <c r="D439"/>
      <c r="E439"/>
      <c r="F439" s="16"/>
      <c r="G439" s="16"/>
      <c r="BA439"/>
      <c r="BB439"/>
      <c r="BC439"/>
      <c r="BD439"/>
      <c r="BE439"/>
      <c r="BF439" s="16"/>
      <c r="BG439" s="16"/>
      <c r="BH439" s="12"/>
      <c r="BI439" s="12"/>
      <c r="BJ439" s="12"/>
    </row>
    <row r="440" spans="1:62" ht="15" customHeight="1" x14ac:dyDescent="0.25">
      <c r="A440"/>
      <c r="B440"/>
      <c r="C440"/>
      <c r="D440"/>
      <c r="E440"/>
      <c r="F440" s="16"/>
      <c r="G440" s="16"/>
      <c r="BA440"/>
      <c r="BB440"/>
      <c r="BC440"/>
      <c r="BD440"/>
      <c r="BE440"/>
      <c r="BF440" s="16"/>
      <c r="BG440" s="16"/>
      <c r="BH440" s="12"/>
      <c r="BI440" s="12"/>
      <c r="BJ440" s="12"/>
    </row>
    <row r="441" spans="1:62" x14ac:dyDescent="0.25">
      <c r="A441"/>
      <c r="B441"/>
      <c r="C441"/>
      <c r="D441"/>
      <c r="E441"/>
      <c r="BA441"/>
      <c r="BB441"/>
      <c r="BC441"/>
      <c r="BD441"/>
      <c r="BE441"/>
      <c r="BF441" s="29"/>
      <c r="BG441" s="29"/>
      <c r="BH441" s="12"/>
      <c r="BI441" s="12"/>
      <c r="BJ441" s="12"/>
    </row>
    <row r="442" spans="1:62" x14ac:dyDescent="0.25">
      <c r="A442"/>
      <c r="B442"/>
      <c r="C442"/>
      <c r="D442"/>
      <c r="E442"/>
      <c r="BA442"/>
      <c r="BB442"/>
      <c r="BC442"/>
      <c r="BD442"/>
      <c r="BE442"/>
      <c r="BF442" s="29"/>
      <c r="BG442" s="29"/>
      <c r="BH442" s="12"/>
      <c r="BI442" s="12"/>
      <c r="BJ442" s="12"/>
    </row>
    <row r="443" spans="1:62" x14ac:dyDescent="0.25">
      <c r="A443"/>
      <c r="B443"/>
      <c r="C443"/>
      <c r="D443"/>
      <c r="E443"/>
      <c r="BA443"/>
      <c r="BB443"/>
      <c r="BC443"/>
      <c r="BD443"/>
      <c r="BE443"/>
      <c r="BF443" s="29"/>
      <c r="BG443" s="29"/>
      <c r="BH443" s="12"/>
      <c r="BI443" s="12"/>
      <c r="BJ443" s="12"/>
    </row>
    <row r="444" spans="1:62" x14ac:dyDescent="0.25">
      <c r="A444"/>
      <c r="B444"/>
      <c r="C444"/>
      <c r="D444"/>
      <c r="E444"/>
      <c r="BA444"/>
      <c r="BB444"/>
      <c r="BC444"/>
      <c r="BD444"/>
      <c r="BE444"/>
      <c r="BF444" s="29"/>
      <c r="BG444" s="29"/>
      <c r="BH444" s="12"/>
      <c r="BI444" s="12"/>
      <c r="BJ444" s="12"/>
    </row>
    <row r="445" spans="1:62" x14ac:dyDescent="0.25">
      <c r="A445"/>
      <c r="B445"/>
      <c r="C445"/>
      <c r="D445"/>
      <c r="E445"/>
      <c r="BA445"/>
      <c r="BB445"/>
      <c r="BC445"/>
      <c r="BD445"/>
      <c r="BE445"/>
      <c r="BF445" s="29"/>
      <c r="BG445" s="29"/>
      <c r="BH445" s="12"/>
      <c r="BI445" s="12"/>
      <c r="BJ445" s="12"/>
    </row>
    <row r="446" spans="1:62" x14ac:dyDescent="0.25">
      <c r="A446"/>
      <c r="B446"/>
      <c r="C446"/>
      <c r="D446"/>
      <c r="E446"/>
      <c r="BA446"/>
      <c r="BB446"/>
      <c r="BC446"/>
      <c r="BD446"/>
      <c r="BE446"/>
      <c r="BF446" s="29"/>
      <c r="BG446" s="29"/>
      <c r="BH446" s="12"/>
      <c r="BI446" s="12"/>
      <c r="BJ446" s="12"/>
    </row>
    <row r="447" spans="1:62" x14ac:dyDescent="0.25">
      <c r="A447"/>
      <c r="B447"/>
      <c r="C447"/>
      <c r="D447"/>
      <c r="E447"/>
      <c r="F447" s="16"/>
      <c r="G447" s="16"/>
      <c r="BA447"/>
      <c r="BB447"/>
      <c r="BC447"/>
      <c r="BD447"/>
      <c r="BE447"/>
      <c r="BF447" s="16"/>
      <c r="BG447" s="16"/>
      <c r="BH447" s="12"/>
      <c r="BI447" s="12"/>
      <c r="BJ447" s="12"/>
    </row>
    <row r="448" spans="1:62" x14ac:dyDescent="0.25">
      <c r="A448"/>
      <c r="B448"/>
      <c r="C448"/>
      <c r="D448"/>
      <c r="E448"/>
      <c r="BA448"/>
      <c r="BB448"/>
      <c r="BC448"/>
      <c r="BD448"/>
      <c r="BE448"/>
      <c r="BF448" s="29"/>
      <c r="BG448" s="29"/>
      <c r="BH448" s="12"/>
      <c r="BI448" s="12"/>
      <c r="BJ448" s="12"/>
    </row>
    <row r="449" spans="1:62" x14ac:dyDescent="0.25">
      <c r="A449"/>
      <c r="B449"/>
      <c r="C449"/>
      <c r="D449"/>
      <c r="E449"/>
      <c r="F449" s="16"/>
      <c r="G449" s="16"/>
      <c r="BA449"/>
      <c r="BB449"/>
      <c r="BC449"/>
      <c r="BD449"/>
      <c r="BE449"/>
      <c r="BF449" s="16"/>
      <c r="BG449" s="16"/>
      <c r="BH449" s="12"/>
      <c r="BI449" s="12"/>
      <c r="BJ449" s="12"/>
    </row>
    <row r="450" spans="1:62" x14ac:dyDescent="0.25">
      <c r="A450"/>
      <c r="B450"/>
      <c r="C450"/>
      <c r="D450"/>
      <c r="E450"/>
      <c r="BA450"/>
      <c r="BB450"/>
      <c r="BC450"/>
      <c r="BD450"/>
      <c r="BE450"/>
      <c r="BF450" s="29"/>
      <c r="BG450" s="29"/>
      <c r="BH450" s="12"/>
      <c r="BI450" s="12"/>
      <c r="BJ450" s="12"/>
    </row>
    <row r="451" spans="1:62" x14ac:dyDescent="0.25">
      <c r="A451"/>
      <c r="B451"/>
      <c r="C451"/>
      <c r="D451"/>
      <c r="E451"/>
      <c r="F451" s="16"/>
      <c r="G451" s="16"/>
      <c r="P451" s="28"/>
      <c r="Q451" s="28"/>
      <c r="R451" s="28"/>
      <c r="BA451"/>
      <c r="BB451"/>
      <c r="BC451"/>
      <c r="BD451"/>
      <c r="BE451"/>
      <c r="BF451" s="16"/>
      <c r="BG451" s="16"/>
      <c r="BH451" s="12"/>
      <c r="BI451" s="12"/>
      <c r="BJ451" s="12"/>
    </row>
    <row r="452" spans="1:62" x14ac:dyDescent="0.25">
      <c r="A452"/>
      <c r="B452"/>
      <c r="C452"/>
      <c r="D452"/>
      <c r="E452"/>
      <c r="BA452"/>
      <c r="BB452"/>
      <c r="BC452"/>
      <c r="BD452"/>
      <c r="BE452"/>
      <c r="BF452" s="29"/>
      <c r="BG452" s="29"/>
      <c r="BH452" s="12"/>
      <c r="BI452" s="12"/>
      <c r="BJ452" s="12"/>
    </row>
    <row r="453" spans="1:62" x14ac:dyDescent="0.25">
      <c r="A453"/>
      <c r="B453"/>
      <c r="C453"/>
      <c r="D453"/>
      <c r="E453"/>
      <c r="BA453"/>
      <c r="BB453"/>
      <c r="BC453"/>
      <c r="BD453"/>
      <c r="BE453"/>
      <c r="BF453" s="29"/>
      <c r="BG453" s="29"/>
      <c r="BH453" s="12"/>
      <c r="BI453" s="12"/>
      <c r="BJ453" s="12"/>
    </row>
    <row r="454" spans="1:62" x14ac:dyDescent="0.25">
      <c r="A454"/>
      <c r="B454"/>
      <c r="C454"/>
      <c r="D454"/>
      <c r="E454"/>
      <c r="F454" s="16"/>
      <c r="G454" s="16"/>
      <c r="BA454"/>
      <c r="BB454"/>
      <c r="BC454"/>
      <c r="BD454"/>
      <c r="BE454"/>
      <c r="BF454" s="16"/>
      <c r="BG454" s="16"/>
      <c r="BH454" s="12"/>
      <c r="BI454" s="12"/>
      <c r="BJ454" s="12"/>
    </row>
    <row r="455" spans="1:62" x14ac:dyDescent="0.25">
      <c r="A455"/>
      <c r="B455"/>
      <c r="C455"/>
      <c r="D455"/>
      <c r="E455"/>
      <c r="BA455"/>
      <c r="BB455"/>
      <c r="BC455"/>
      <c r="BD455"/>
      <c r="BE455"/>
      <c r="BF455" s="29"/>
      <c r="BG455" s="29"/>
      <c r="BH455" s="12"/>
      <c r="BI455" s="12"/>
      <c r="BJ455" s="12"/>
    </row>
    <row r="456" spans="1:62" x14ac:dyDescent="0.25">
      <c r="A456"/>
      <c r="B456"/>
      <c r="C456"/>
      <c r="D456"/>
      <c r="E456"/>
      <c r="BA456"/>
      <c r="BB456"/>
      <c r="BC456"/>
      <c r="BD456"/>
      <c r="BE456"/>
      <c r="BF456" s="29"/>
      <c r="BG456" s="29"/>
      <c r="BH456" s="12"/>
      <c r="BI456" s="12"/>
      <c r="BJ456" s="12"/>
    </row>
    <row r="457" spans="1:62" x14ac:dyDescent="0.25">
      <c r="A457"/>
      <c r="B457"/>
      <c r="C457"/>
      <c r="D457"/>
      <c r="E457"/>
      <c r="BA457"/>
      <c r="BB457"/>
      <c r="BC457"/>
      <c r="BD457"/>
      <c r="BE457"/>
      <c r="BF457" s="29"/>
      <c r="BG457" s="29"/>
      <c r="BH457" s="12"/>
      <c r="BI457" s="12"/>
      <c r="BJ457" s="12"/>
    </row>
    <row r="458" spans="1:62" x14ac:dyDescent="0.25">
      <c r="A458"/>
      <c r="B458"/>
      <c r="C458"/>
      <c r="D458"/>
      <c r="E458"/>
      <c r="F458" s="16"/>
      <c r="G458" s="16"/>
      <c r="BA458"/>
      <c r="BB458"/>
      <c r="BC458"/>
      <c r="BD458"/>
      <c r="BE458"/>
      <c r="BF458" s="16"/>
      <c r="BG458" s="16"/>
      <c r="BH458" s="12"/>
      <c r="BI458" s="12"/>
      <c r="BJ458" s="12"/>
    </row>
    <row r="459" spans="1:62" x14ac:dyDescent="0.25">
      <c r="A459"/>
      <c r="B459"/>
      <c r="C459"/>
      <c r="D459"/>
      <c r="E459"/>
      <c r="BA459"/>
      <c r="BB459"/>
      <c r="BC459"/>
      <c r="BD459"/>
      <c r="BE459"/>
      <c r="BF459" s="29"/>
      <c r="BG459" s="29"/>
      <c r="BH459" s="12"/>
      <c r="BI459" s="12"/>
      <c r="BJ459" s="12"/>
    </row>
    <row r="460" spans="1:62" x14ac:dyDescent="0.25">
      <c r="A460"/>
      <c r="B460"/>
      <c r="C460"/>
      <c r="D460"/>
      <c r="E460"/>
      <c r="BA460"/>
      <c r="BB460"/>
      <c r="BC460"/>
      <c r="BD460"/>
      <c r="BE460"/>
      <c r="BF460" s="29"/>
      <c r="BG460" s="29"/>
      <c r="BH460" s="12"/>
      <c r="BI460" s="12"/>
      <c r="BJ460" s="12"/>
    </row>
    <row r="461" spans="1:62" x14ac:dyDescent="0.25">
      <c r="A461"/>
      <c r="B461"/>
      <c r="C461"/>
      <c r="D461"/>
      <c r="E461"/>
      <c r="BA461"/>
      <c r="BB461"/>
      <c r="BC461"/>
      <c r="BD461"/>
      <c r="BE461"/>
      <c r="BF461" s="29"/>
      <c r="BG461" s="29"/>
      <c r="BH461" s="12"/>
      <c r="BI461" s="12"/>
      <c r="BJ461" s="12"/>
    </row>
    <row r="462" spans="1:62" x14ac:dyDescent="0.25">
      <c r="A462"/>
      <c r="B462"/>
      <c r="C462"/>
      <c r="D462"/>
      <c r="E462"/>
      <c r="F462" s="16"/>
      <c r="G462" s="16"/>
      <c r="BA462"/>
      <c r="BB462"/>
      <c r="BC462"/>
      <c r="BD462"/>
      <c r="BE462"/>
      <c r="BF462" s="16"/>
      <c r="BG462" s="16"/>
      <c r="BH462" s="12"/>
      <c r="BI462" s="12"/>
      <c r="BJ462" s="12"/>
    </row>
    <row r="463" spans="1:62" x14ac:dyDescent="0.25">
      <c r="A463"/>
      <c r="B463"/>
      <c r="C463"/>
      <c r="D463"/>
      <c r="E463"/>
      <c r="F463" s="16"/>
      <c r="G463" s="16"/>
      <c r="BA463"/>
      <c r="BB463"/>
      <c r="BC463"/>
      <c r="BD463"/>
      <c r="BE463"/>
      <c r="BF463" s="16"/>
      <c r="BG463" s="16"/>
      <c r="BH463" s="12"/>
      <c r="BI463" s="12"/>
      <c r="BJ463" s="12"/>
    </row>
    <row r="464" spans="1:62" x14ac:dyDescent="0.25">
      <c r="A464"/>
      <c r="B464"/>
      <c r="C464"/>
      <c r="D464"/>
      <c r="E464"/>
      <c r="G464" s="16"/>
      <c r="BA464"/>
      <c r="BB464"/>
      <c r="BC464"/>
      <c r="BD464"/>
      <c r="BE464"/>
      <c r="BF464" s="29"/>
      <c r="BG464" s="16"/>
      <c r="BH464" s="12"/>
      <c r="BI464" s="12"/>
      <c r="BJ464" s="12"/>
    </row>
    <row r="465" spans="1:62" x14ac:dyDescent="0.25">
      <c r="A465"/>
      <c r="B465"/>
      <c r="C465"/>
      <c r="D465"/>
      <c r="E465"/>
      <c r="BA465"/>
      <c r="BB465"/>
      <c r="BC465"/>
      <c r="BD465"/>
      <c r="BE465"/>
      <c r="BF465" s="29"/>
      <c r="BG465" s="29"/>
      <c r="BH465" s="12"/>
      <c r="BI465" s="12"/>
      <c r="BJ465" s="12"/>
    </row>
    <row r="466" spans="1:62" x14ac:dyDescent="0.25">
      <c r="A466"/>
      <c r="B466"/>
      <c r="C466"/>
      <c r="D466"/>
      <c r="E466"/>
      <c r="BA466"/>
      <c r="BB466"/>
      <c r="BC466"/>
      <c r="BD466"/>
      <c r="BE466"/>
      <c r="BF466" s="29"/>
      <c r="BG466" s="29"/>
      <c r="BH466" s="12"/>
      <c r="BI466" s="12"/>
      <c r="BJ466" s="12"/>
    </row>
    <row r="467" spans="1:62" x14ac:dyDescent="0.25">
      <c r="A467"/>
      <c r="B467"/>
      <c r="C467"/>
      <c r="D467"/>
      <c r="E467"/>
      <c r="BA467"/>
      <c r="BB467"/>
      <c r="BC467"/>
      <c r="BD467"/>
      <c r="BE467"/>
      <c r="BF467" s="29"/>
      <c r="BG467" s="29"/>
      <c r="BH467" s="12"/>
      <c r="BI467" s="12"/>
      <c r="BJ467" s="12"/>
    </row>
    <row r="468" spans="1:62" x14ac:dyDescent="0.25">
      <c r="A468"/>
      <c r="B468"/>
      <c r="C468"/>
      <c r="D468"/>
      <c r="E468"/>
      <c r="BA468"/>
      <c r="BB468"/>
      <c r="BC468"/>
      <c r="BD468"/>
      <c r="BE468"/>
      <c r="BF468" s="29"/>
      <c r="BG468" s="29"/>
      <c r="BH468" s="12"/>
      <c r="BI468" s="12"/>
      <c r="BJ468" s="12"/>
    </row>
    <row r="469" spans="1:62" x14ac:dyDescent="0.25">
      <c r="A469"/>
      <c r="B469"/>
      <c r="C469"/>
      <c r="D469"/>
      <c r="E469"/>
      <c r="BA469"/>
      <c r="BB469"/>
      <c r="BC469"/>
      <c r="BD469"/>
      <c r="BE469"/>
      <c r="BF469" s="29"/>
      <c r="BG469" s="29"/>
      <c r="BH469" s="12"/>
      <c r="BI469" s="12"/>
      <c r="BJ469" s="12"/>
    </row>
    <row r="470" spans="1:62" x14ac:dyDescent="0.25">
      <c r="A470"/>
      <c r="B470"/>
      <c r="C470"/>
      <c r="D470"/>
      <c r="E470"/>
      <c r="F470" s="16"/>
      <c r="G470" s="16"/>
      <c r="BA470"/>
      <c r="BB470"/>
      <c r="BC470"/>
      <c r="BD470"/>
      <c r="BE470"/>
      <c r="BF470" s="16"/>
      <c r="BG470" s="16"/>
      <c r="BH470" s="12"/>
      <c r="BI470" s="12"/>
      <c r="BJ470" s="12"/>
    </row>
    <row r="471" spans="1:62" x14ac:dyDescent="0.25">
      <c r="A471"/>
      <c r="B471"/>
      <c r="C471"/>
      <c r="D471"/>
      <c r="E471"/>
      <c r="BA471"/>
      <c r="BB471"/>
      <c r="BC471"/>
      <c r="BD471"/>
      <c r="BE471"/>
      <c r="BF471" s="29"/>
      <c r="BG471" s="29"/>
      <c r="BH471" s="12"/>
      <c r="BI471" s="12"/>
      <c r="BJ471" s="12"/>
    </row>
    <row r="472" spans="1:62" x14ac:dyDescent="0.25">
      <c r="A472"/>
      <c r="B472"/>
      <c r="C472"/>
      <c r="D472"/>
      <c r="E472"/>
      <c r="BA472"/>
      <c r="BB472"/>
      <c r="BC472"/>
      <c r="BD472"/>
      <c r="BE472"/>
      <c r="BF472" s="29"/>
      <c r="BG472" s="29"/>
      <c r="BH472" s="12"/>
      <c r="BI472" s="12"/>
      <c r="BJ472" s="12"/>
    </row>
    <row r="473" spans="1:62" x14ac:dyDescent="0.25">
      <c r="A473"/>
      <c r="B473"/>
      <c r="C473"/>
      <c r="D473"/>
      <c r="E473"/>
      <c r="BA473"/>
      <c r="BB473"/>
      <c r="BC473"/>
      <c r="BD473"/>
      <c r="BE473"/>
      <c r="BF473" s="29"/>
      <c r="BG473" s="29"/>
      <c r="BH473" s="12"/>
      <c r="BI473" s="12"/>
      <c r="BJ473" s="12"/>
    </row>
    <row r="474" spans="1:62" x14ac:dyDescent="0.25">
      <c r="A474"/>
      <c r="B474"/>
      <c r="C474"/>
      <c r="D474"/>
      <c r="E474"/>
      <c r="F474" s="16"/>
      <c r="G474" s="16"/>
      <c r="BA474"/>
      <c r="BB474"/>
      <c r="BC474"/>
      <c r="BD474"/>
      <c r="BE474"/>
      <c r="BF474" s="16"/>
      <c r="BG474" s="16"/>
      <c r="BH474" s="12"/>
      <c r="BI474" s="12"/>
      <c r="BJ474" s="12"/>
    </row>
    <row r="475" spans="1:62" x14ac:dyDescent="0.25">
      <c r="A475"/>
      <c r="B475"/>
      <c r="C475"/>
      <c r="D475"/>
      <c r="E475"/>
      <c r="BA475"/>
      <c r="BB475"/>
      <c r="BC475"/>
      <c r="BD475"/>
      <c r="BE475"/>
      <c r="BF475" s="29"/>
      <c r="BG475" s="29"/>
      <c r="BH475" s="12"/>
      <c r="BI475" s="12"/>
      <c r="BJ475" s="12"/>
    </row>
    <row r="476" spans="1:62" x14ac:dyDescent="0.25">
      <c r="A476"/>
      <c r="B476"/>
      <c r="C476"/>
      <c r="D476"/>
      <c r="E476"/>
      <c r="F476" s="16"/>
      <c r="G476" s="16"/>
      <c r="BA476"/>
      <c r="BB476"/>
      <c r="BC476"/>
      <c r="BD476"/>
      <c r="BE476"/>
      <c r="BF476" s="16"/>
      <c r="BG476" s="16"/>
      <c r="BH476" s="12"/>
      <c r="BI476" s="12"/>
      <c r="BJ476" s="12"/>
    </row>
    <row r="477" spans="1:62" x14ac:dyDescent="0.25">
      <c r="A477"/>
      <c r="B477"/>
      <c r="C477"/>
      <c r="D477"/>
      <c r="E477"/>
      <c r="BA477"/>
      <c r="BB477"/>
      <c r="BC477"/>
      <c r="BD477"/>
      <c r="BE477"/>
      <c r="BF477" s="29"/>
      <c r="BG477" s="29"/>
      <c r="BH477" s="12"/>
      <c r="BI477" s="12"/>
      <c r="BJ477" s="12"/>
    </row>
    <row r="478" spans="1:62" x14ac:dyDescent="0.25">
      <c r="A478"/>
      <c r="B478"/>
      <c r="C478"/>
      <c r="D478"/>
      <c r="E478"/>
      <c r="BA478"/>
      <c r="BB478"/>
      <c r="BC478"/>
      <c r="BD478"/>
      <c r="BE478"/>
      <c r="BF478" s="29"/>
      <c r="BG478" s="29"/>
      <c r="BH478" s="12"/>
      <c r="BI478" s="12"/>
      <c r="BJ478" s="12"/>
    </row>
    <row r="479" spans="1:62" x14ac:dyDescent="0.25">
      <c r="A479"/>
      <c r="B479"/>
      <c r="C479"/>
      <c r="D479"/>
      <c r="E479"/>
      <c r="BA479"/>
      <c r="BB479"/>
      <c r="BC479"/>
      <c r="BD479"/>
      <c r="BE479"/>
      <c r="BF479" s="29"/>
      <c r="BG479" s="29"/>
      <c r="BH479" s="12"/>
      <c r="BI479" s="12"/>
      <c r="BJ479" s="12"/>
    </row>
    <row r="480" spans="1:62" x14ac:dyDescent="0.25">
      <c r="A480"/>
      <c r="B480"/>
      <c r="C480"/>
      <c r="D480"/>
      <c r="E480"/>
      <c r="F480" s="16"/>
      <c r="G480" s="16"/>
      <c r="BA480"/>
      <c r="BB480"/>
      <c r="BC480"/>
      <c r="BD480"/>
      <c r="BE480"/>
      <c r="BF480" s="16"/>
      <c r="BG480" s="16"/>
      <c r="BH480" s="12"/>
      <c r="BI480" s="12"/>
      <c r="BJ480" s="12"/>
    </row>
    <row r="481" spans="1:62" x14ac:dyDescent="0.25">
      <c r="A481"/>
      <c r="B481"/>
      <c r="C481"/>
      <c r="D481"/>
      <c r="E481"/>
      <c r="BA481"/>
      <c r="BB481"/>
      <c r="BC481"/>
      <c r="BD481"/>
      <c r="BE481"/>
      <c r="BF481" s="29"/>
      <c r="BG481" s="29"/>
      <c r="BH481" s="12"/>
      <c r="BI481" s="12"/>
      <c r="BJ481" s="12"/>
    </row>
    <row r="482" spans="1:62" x14ac:dyDescent="0.25">
      <c r="A482"/>
      <c r="B482"/>
      <c r="C482"/>
      <c r="D482"/>
      <c r="E482"/>
      <c r="BA482"/>
      <c r="BB482"/>
      <c r="BC482"/>
      <c r="BD482"/>
      <c r="BE482"/>
      <c r="BF482" s="29"/>
      <c r="BG482" s="29"/>
      <c r="BH482" s="12"/>
      <c r="BI482" s="12"/>
      <c r="BJ482" s="12"/>
    </row>
    <row r="483" spans="1:62" x14ac:dyDescent="0.25">
      <c r="A483"/>
      <c r="B483"/>
      <c r="C483"/>
      <c r="D483"/>
      <c r="E483"/>
      <c r="BA483"/>
      <c r="BB483"/>
      <c r="BC483"/>
      <c r="BD483"/>
      <c r="BE483"/>
      <c r="BF483" s="29"/>
      <c r="BG483" s="29"/>
      <c r="BH483" s="12"/>
      <c r="BI483" s="12"/>
      <c r="BJ483" s="12"/>
    </row>
    <row r="484" spans="1:62" x14ac:dyDescent="0.25">
      <c r="A484"/>
      <c r="B484"/>
      <c r="C484"/>
      <c r="D484"/>
      <c r="E484"/>
      <c r="BA484"/>
      <c r="BB484"/>
      <c r="BC484"/>
      <c r="BD484"/>
      <c r="BE484"/>
      <c r="BF484" s="29"/>
      <c r="BG484" s="29"/>
      <c r="BH484" s="12"/>
      <c r="BI484" s="12"/>
      <c r="BJ484" s="12"/>
    </row>
    <row r="485" spans="1:62" x14ac:dyDescent="0.25">
      <c r="A485"/>
      <c r="B485"/>
      <c r="C485"/>
      <c r="D485"/>
      <c r="E485"/>
      <c r="BA485"/>
      <c r="BB485"/>
      <c r="BC485"/>
      <c r="BD485"/>
      <c r="BE485"/>
      <c r="BF485" s="29"/>
      <c r="BG485" s="29"/>
      <c r="BH485" s="12"/>
      <c r="BI485" s="12"/>
      <c r="BJ485" s="12"/>
    </row>
    <row r="486" spans="1:62" x14ac:dyDescent="0.25">
      <c r="A486"/>
      <c r="B486"/>
      <c r="C486"/>
      <c r="D486"/>
      <c r="E486"/>
      <c r="F486" s="16"/>
      <c r="G486" s="16"/>
      <c r="BA486"/>
      <c r="BB486"/>
      <c r="BC486"/>
      <c r="BD486"/>
      <c r="BE486"/>
      <c r="BF486" s="16"/>
      <c r="BG486" s="16"/>
      <c r="BH486" s="12"/>
      <c r="BI486" s="12"/>
      <c r="BJ486" s="12"/>
    </row>
    <row r="487" spans="1:62" x14ac:dyDescent="0.25">
      <c r="A487"/>
      <c r="B487"/>
      <c r="C487"/>
      <c r="D487"/>
      <c r="E487"/>
      <c r="BA487"/>
      <c r="BB487"/>
      <c r="BC487"/>
      <c r="BD487"/>
      <c r="BE487"/>
      <c r="BF487" s="29"/>
      <c r="BG487" s="29"/>
      <c r="BH487" s="12"/>
      <c r="BI487" s="12"/>
      <c r="BJ487" s="12"/>
    </row>
    <row r="488" spans="1:62" x14ac:dyDescent="0.25">
      <c r="A488"/>
      <c r="B488"/>
      <c r="C488"/>
      <c r="D488"/>
      <c r="E488"/>
      <c r="F488" s="16"/>
      <c r="BA488"/>
      <c r="BB488"/>
      <c r="BC488"/>
      <c r="BD488"/>
      <c r="BE488"/>
      <c r="BF488" s="16"/>
      <c r="BG488" s="29"/>
      <c r="BH488" s="12"/>
      <c r="BI488" s="12"/>
      <c r="BJ488" s="12"/>
    </row>
    <row r="489" spans="1:62" x14ac:dyDescent="0.25">
      <c r="A489"/>
      <c r="B489"/>
      <c r="C489"/>
      <c r="D489"/>
      <c r="E489"/>
      <c r="BA489"/>
      <c r="BB489"/>
      <c r="BC489"/>
      <c r="BD489"/>
      <c r="BE489"/>
      <c r="BF489" s="29"/>
      <c r="BG489" s="29"/>
      <c r="BH489" s="12"/>
      <c r="BI489" s="12"/>
      <c r="BJ489" s="12"/>
    </row>
    <row r="490" spans="1:62" x14ac:dyDescent="0.25">
      <c r="A490"/>
      <c r="B490"/>
      <c r="C490"/>
      <c r="D490"/>
      <c r="E490"/>
      <c r="BA490"/>
      <c r="BB490"/>
      <c r="BC490"/>
      <c r="BD490"/>
      <c r="BE490"/>
      <c r="BF490" s="29"/>
      <c r="BG490" s="29"/>
      <c r="BH490" s="12"/>
      <c r="BI490" s="12"/>
      <c r="BJ490" s="12"/>
    </row>
    <row r="491" spans="1:62" x14ac:dyDescent="0.25">
      <c r="A491"/>
      <c r="B491"/>
      <c r="C491"/>
      <c r="D491"/>
      <c r="E491"/>
      <c r="F491" s="16"/>
      <c r="G491" s="16"/>
      <c r="BA491"/>
      <c r="BB491"/>
      <c r="BC491"/>
      <c r="BD491"/>
      <c r="BE491"/>
      <c r="BF491" s="16"/>
      <c r="BG491" s="16"/>
      <c r="BH491" s="12"/>
      <c r="BI491" s="12"/>
      <c r="BJ491" s="12"/>
    </row>
    <row r="492" spans="1:62" x14ac:dyDescent="0.25">
      <c r="A492"/>
      <c r="B492"/>
      <c r="C492"/>
      <c r="D492"/>
      <c r="E492"/>
      <c r="BA492"/>
      <c r="BB492"/>
      <c r="BC492"/>
      <c r="BD492"/>
      <c r="BE492"/>
      <c r="BF492" s="29"/>
      <c r="BG492" s="29"/>
      <c r="BH492" s="12"/>
      <c r="BI492" s="12"/>
      <c r="BJ492" s="12"/>
    </row>
    <row r="493" spans="1:62" x14ac:dyDescent="0.25">
      <c r="A493"/>
      <c r="B493"/>
      <c r="C493"/>
      <c r="D493"/>
      <c r="E493"/>
      <c r="BA493"/>
      <c r="BB493"/>
      <c r="BC493"/>
      <c r="BD493"/>
      <c r="BE493"/>
      <c r="BF493" s="29"/>
      <c r="BG493" s="29"/>
      <c r="BH493" s="12"/>
      <c r="BI493" s="12"/>
      <c r="BJ493" s="12"/>
    </row>
    <row r="494" spans="1:62" x14ac:dyDescent="0.25">
      <c r="A494"/>
      <c r="B494"/>
      <c r="C494"/>
      <c r="D494"/>
      <c r="E494"/>
      <c r="BA494"/>
      <c r="BB494"/>
      <c r="BC494"/>
      <c r="BD494"/>
      <c r="BE494"/>
      <c r="BF494" s="29"/>
      <c r="BG494" s="29"/>
      <c r="BH494" s="12"/>
      <c r="BI494" s="12"/>
      <c r="BJ494" s="12"/>
    </row>
    <row r="495" spans="1:62" x14ac:dyDescent="0.25">
      <c r="A495"/>
      <c r="B495"/>
      <c r="C495"/>
      <c r="D495"/>
      <c r="E495"/>
      <c r="F495" s="16"/>
      <c r="G495" s="16"/>
      <c r="BA495"/>
      <c r="BB495"/>
      <c r="BC495"/>
      <c r="BD495"/>
      <c r="BE495"/>
      <c r="BF495" s="16"/>
      <c r="BG495" s="16"/>
      <c r="BH495" s="12"/>
      <c r="BI495" s="12"/>
      <c r="BJ495" s="12"/>
    </row>
    <row r="496" spans="1:62" x14ac:dyDescent="0.25">
      <c r="A496"/>
      <c r="B496"/>
      <c r="C496"/>
      <c r="D496"/>
      <c r="E496"/>
      <c r="BA496"/>
      <c r="BB496"/>
      <c r="BC496"/>
      <c r="BD496"/>
      <c r="BE496"/>
      <c r="BF496" s="29"/>
      <c r="BG496" s="29"/>
      <c r="BH496" s="12"/>
      <c r="BI496" s="12"/>
      <c r="BJ496" s="12"/>
    </row>
    <row r="497" spans="1:62" x14ac:dyDescent="0.25">
      <c r="A497"/>
      <c r="B497"/>
      <c r="C497"/>
      <c r="D497"/>
      <c r="E497"/>
      <c r="BA497"/>
      <c r="BB497"/>
      <c r="BC497"/>
      <c r="BD497"/>
      <c r="BE497"/>
      <c r="BF497" s="29"/>
      <c r="BG497" s="29"/>
      <c r="BH497" s="12"/>
      <c r="BI497" s="12"/>
      <c r="BJ497" s="12"/>
    </row>
    <row r="498" spans="1:62" x14ac:dyDescent="0.25">
      <c r="A498"/>
      <c r="B498"/>
      <c r="C498"/>
      <c r="D498"/>
      <c r="E498"/>
      <c r="BA498"/>
      <c r="BB498"/>
      <c r="BC498"/>
      <c r="BD498"/>
      <c r="BE498"/>
      <c r="BF498" s="29"/>
      <c r="BG498" s="29"/>
      <c r="BH498" s="12"/>
      <c r="BI498" s="12"/>
      <c r="BJ498" s="12"/>
    </row>
    <row r="499" spans="1:62" x14ac:dyDescent="0.25">
      <c r="A499"/>
      <c r="B499"/>
      <c r="C499"/>
      <c r="D499"/>
      <c r="E499"/>
      <c r="F499" s="16"/>
      <c r="BA499"/>
      <c r="BB499"/>
      <c r="BC499"/>
      <c r="BD499"/>
      <c r="BE499"/>
      <c r="BF499" s="16"/>
      <c r="BG499" s="29"/>
      <c r="BH499" s="12"/>
      <c r="BI499" s="12"/>
      <c r="BJ499" s="12"/>
    </row>
    <row r="500" spans="1:62" x14ac:dyDescent="0.25">
      <c r="A500"/>
      <c r="B500"/>
      <c r="C500"/>
      <c r="D500"/>
      <c r="E500"/>
      <c r="F500" s="16"/>
      <c r="G500" s="16"/>
      <c r="BA500"/>
      <c r="BB500"/>
      <c r="BC500"/>
      <c r="BD500"/>
      <c r="BE500"/>
      <c r="BF500" s="16"/>
      <c r="BG500" s="16"/>
      <c r="BH500" s="12"/>
      <c r="BI500" s="12"/>
      <c r="BJ500" s="12"/>
    </row>
    <row r="501" spans="1:62" x14ac:dyDescent="0.25">
      <c r="A501"/>
      <c r="B501"/>
      <c r="C501"/>
      <c r="D501"/>
      <c r="E501"/>
      <c r="BA501"/>
      <c r="BB501"/>
      <c r="BC501"/>
      <c r="BD501"/>
      <c r="BE501"/>
      <c r="BF501" s="29"/>
      <c r="BG501" s="29"/>
      <c r="BH501" s="12"/>
      <c r="BI501" s="12"/>
      <c r="BJ501" s="12"/>
    </row>
    <row r="502" spans="1:62" x14ac:dyDescent="0.25">
      <c r="A502"/>
      <c r="B502"/>
      <c r="C502"/>
      <c r="D502"/>
      <c r="E502"/>
      <c r="BA502"/>
      <c r="BB502"/>
      <c r="BC502"/>
      <c r="BD502"/>
      <c r="BE502"/>
      <c r="BF502" s="29"/>
      <c r="BG502" s="29"/>
      <c r="BH502" s="12"/>
      <c r="BI502" s="12"/>
      <c r="BJ502" s="12"/>
    </row>
    <row r="503" spans="1:62" x14ac:dyDescent="0.25">
      <c r="A503"/>
      <c r="B503"/>
      <c r="C503"/>
      <c r="D503"/>
      <c r="E503"/>
      <c r="BA503"/>
      <c r="BB503"/>
      <c r="BC503"/>
      <c r="BD503"/>
      <c r="BE503"/>
      <c r="BF503" s="29"/>
      <c r="BG503" s="29"/>
      <c r="BH503" s="12"/>
      <c r="BI503" s="12"/>
      <c r="BJ503" s="12"/>
    </row>
    <row r="504" spans="1:62" x14ac:dyDescent="0.25">
      <c r="A504"/>
      <c r="B504"/>
      <c r="C504"/>
      <c r="D504"/>
      <c r="E504"/>
      <c r="BA504"/>
      <c r="BB504"/>
      <c r="BC504"/>
      <c r="BD504"/>
      <c r="BE504"/>
      <c r="BF504" s="29"/>
      <c r="BG504" s="29"/>
      <c r="BH504" s="12"/>
      <c r="BI504" s="12"/>
      <c r="BJ504" s="12"/>
    </row>
    <row r="505" spans="1:62" x14ac:dyDescent="0.25">
      <c r="A505"/>
      <c r="B505"/>
      <c r="C505"/>
      <c r="D505"/>
      <c r="E505"/>
      <c r="BA505"/>
      <c r="BB505"/>
      <c r="BC505"/>
      <c r="BD505"/>
      <c r="BE505"/>
      <c r="BF505" s="29"/>
      <c r="BG505" s="29"/>
      <c r="BH505" s="12"/>
      <c r="BI505" s="12"/>
      <c r="BJ505" s="12"/>
    </row>
    <row r="506" spans="1:62" x14ac:dyDescent="0.25">
      <c r="A506"/>
      <c r="B506"/>
      <c r="C506"/>
      <c r="D506"/>
      <c r="E506"/>
      <c r="F506" s="16"/>
      <c r="G506" s="16"/>
      <c r="BA506"/>
      <c r="BB506"/>
      <c r="BC506"/>
      <c r="BD506"/>
      <c r="BE506"/>
      <c r="BF506" s="16"/>
      <c r="BG506" s="16"/>
      <c r="BH506" s="12"/>
      <c r="BI506" s="12"/>
      <c r="BJ506" s="12"/>
    </row>
    <row r="507" spans="1:62" x14ac:dyDescent="0.25">
      <c r="A507"/>
      <c r="B507"/>
      <c r="C507"/>
      <c r="D507"/>
      <c r="E507"/>
      <c r="BA507"/>
      <c r="BB507"/>
      <c r="BC507"/>
      <c r="BD507"/>
      <c r="BE507"/>
      <c r="BF507" s="29"/>
      <c r="BG507" s="29"/>
      <c r="BH507" s="12"/>
      <c r="BI507" s="12"/>
      <c r="BJ507" s="12"/>
    </row>
    <row r="508" spans="1:62" x14ac:dyDescent="0.25">
      <c r="A508"/>
      <c r="B508"/>
      <c r="C508"/>
      <c r="D508"/>
      <c r="E508"/>
      <c r="BA508"/>
      <c r="BB508"/>
      <c r="BC508"/>
      <c r="BD508"/>
      <c r="BE508"/>
      <c r="BF508" s="29"/>
      <c r="BG508" s="29"/>
      <c r="BH508" s="12"/>
      <c r="BI508" s="12"/>
      <c r="BJ508" s="12"/>
    </row>
    <row r="509" spans="1:62" x14ac:dyDescent="0.25">
      <c r="A509"/>
      <c r="B509"/>
      <c r="C509"/>
      <c r="D509"/>
      <c r="E509"/>
      <c r="BA509"/>
      <c r="BB509"/>
      <c r="BC509"/>
      <c r="BD509"/>
      <c r="BE509"/>
      <c r="BF509" s="29"/>
      <c r="BG509" s="29"/>
      <c r="BH509" s="12"/>
      <c r="BI509" s="12"/>
      <c r="BJ509" s="12"/>
    </row>
    <row r="510" spans="1:62" x14ac:dyDescent="0.25">
      <c r="A510"/>
      <c r="B510"/>
      <c r="C510"/>
      <c r="D510"/>
      <c r="E510"/>
      <c r="F510" s="16"/>
      <c r="G510" s="16"/>
      <c r="BA510"/>
      <c r="BB510"/>
      <c r="BC510"/>
      <c r="BD510"/>
      <c r="BE510"/>
      <c r="BF510" s="16"/>
      <c r="BG510" s="16"/>
      <c r="BH510" s="12"/>
      <c r="BI510" s="12"/>
      <c r="BJ510" s="12"/>
    </row>
    <row r="511" spans="1:62" x14ac:dyDescent="0.25">
      <c r="A511"/>
      <c r="B511"/>
      <c r="C511"/>
      <c r="D511"/>
      <c r="E511"/>
      <c r="F511" s="16"/>
      <c r="BA511"/>
      <c r="BB511"/>
      <c r="BC511"/>
      <c r="BD511"/>
      <c r="BE511"/>
      <c r="BF511" s="16"/>
      <c r="BG511" s="29"/>
      <c r="BH511" s="12"/>
      <c r="BI511" s="12"/>
      <c r="BJ511" s="12"/>
    </row>
    <row r="512" spans="1:62" x14ac:dyDescent="0.25">
      <c r="A512"/>
      <c r="B512"/>
      <c r="C512"/>
      <c r="D512"/>
      <c r="E512"/>
      <c r="F512" s="16"/>
      <c r="G512" s="16"/>
      <c r="BA512"/>
      <c r="BB512"/>
      <c r="BC512"/>
      <c r="BD512"/>
      <c r="BE512"/>
      <c r="BF512" s="16"/>
      <c r="BG512" s="16"/>
      <c r="BH512" s="12"/>
      <c r="BI512" s="12"/>
      <c r="BJ512" s="12"/>
    </row>
    <row r="513" spans="1:62" x14ac:dyDescent="0.25">
      <c r="A513"/>
      <c r="B513"/>
      <c r="C513"/>
      <c r="D513"/>
      <c r="E513"/>
      <c r="BA513"/>
      <c r="BB513"/>
      <c r="BC513"/>
      <c r="BD513"/>
      <c r="BE513"/>
      <c r="BF513" s="29"/>
      <c r="BG513" s="29"/>
      <c r="BH513" s="12"/>
      <c r="BI513" s="12"/>
      <c r="BJ513" s="12"/>
    </row>
    <row r="514" spans="1:62" x14ac:dyDescent="0.25">
      <c r="A514"/>
      <c r="B514"/>
      <c r="C514"/>
      <c r="D514"/>
      <c r="E514"/>
      <c r="BA514"/>
      <c r="BB514"/>
      <c r="BC514"/>
      <c r="BD514"/>
      <c r="BE514"/>
      <c r="BF514" s="29"/>
      <c r="BG514" s="29"/>
      <c r="BH514" s="12"/>
      <c r="BI514" s="12"/>
      <c r="BJ514" s="12"/>
    </row>
    <row r="515" spans="1:62" x14ac:dyDescent="0.25">
      <c r="A515"/>
      <c r="B515"/>
      <c r="C515"/>
      <c r="D515"/>
      <c r="E515"/>
      <c r="BA515"/>
      <c r="BB515"/>
      <c r="BC515"/>
      <c r="BD515"/>
      <c r="BE515"/>
      <c r="BF515" s="29"/>
      <c r="BG515" s="29"/>
      <c r="BH515" s="12"/>
      <c r="BI515" s="12"/>
      <c r="BJ515" s="12"/>
    </row>
    <row r="516" spans="1:62" x14ac:dyDescent="0.25">
      <c r="A516"/>
      <c r="B516"/>
      <c r="C516"/>
      <c r="D516"/>
      <c r="E516"/>
      <c r="BA516"/>
      <c r="BB516"/>
      <c r="BC516"/>
      <c r="BD516"/>
      <c r="BE516"/>
      <c r="BF516" s="29"/>
      <c r="BG516" s="29"/>
      <c r="BH516" s="12"/>
      <c r="BI516" s="12"/>
      <c r="BJ516" s="12"/>
    </row>
    <row r="517" spans="1:62" x14ac:dyDescent="0.25">
      <c r="A517"/>
      <c r="B517"/>
      <c r="C517"/>
      <c r="D517"/>
      <c r="E517"/>
      <c r="BA517"/>
      <c r="BB517"/>
      <c r="BC517"/>
      <c r="BD517"/>
      <c r="BE517"/>
      <c r="BF517" s="29"/>
      <c r="BG517" s="29"/>
      <c r="BH517" s="12"/>
      <c r="BI517" s="12"/>
      <c r="BJ517" s="12"/>
    </row>
    <row r="518" spans="1:62" x14ac:dyDescent="0.25">
      <c r="A518"/>
      <c r="B518"/>
      <c r="C518"/>
      <c r="D518"/>
      <c r="E518"/>
      <c r="BA518"/>
      <c r="BB518"/>
      <c r="BC518"/>
      <c r="BD518"/>
      <c r="BE518"/>
      <c r="BF518" s="29"/>
      <c r="BG518" s="29"/>
      <c r="BH518" s="12"/>
      <c r="BI518" s="12"/>
      <c r="BJ518" s="12"/>
    </row>
    <row r="519" spans="1:62" x14ac:dyDescent="0.25">
      <c r="A519"/>
      <c r="B519"/>
      <c r="C519"/>
      <c r="D519"/>
      <c r="E519"/>
      <c r="BA519"/>
      <c r="BB519"/>
      <c r="BC519"/>
      <c r="BD519"/>
      <c r="BE519"/>
      <c r="BF519" s="29"/>
      <c r="BG519" s="29"/>
      <c r="BH519" s="12"/>
      <c r="BI519" s="12"/>
      <c r="BJ519" s="12"/>
    </row>
    <row r="520" spans="1:62" x14ac:dyDescent="0.25">
      <c r="A520"/>
      <c r="B520"/>
      <c r="C520"/>
      <c r="D520"/>
      <c r="E520"/>
      <c r="BA520"/>
      <c r="BB520"/>
      <c r="BC520"/>
      <c r="BD520"/>
      <c r="BE520"/>
      <c r="BF520" s="29"/>
      <c r="BG520" s="29"/>
      <c r="BH520" s="12"/>
      <c r="BI520" s="12"/>
      <c r="BJ520" s="12"/>
    </row>
    <row r="521" spans="1:62" x14ac:dyDescent="0.25">
      <c r="A521"/>
      <c r="B521"/>
      <c r="C521"/>
      <c r="D521"/>
      <c r="E521"/>
      <c r="BA521"/>
      <c r="BB521"/>
      <c r="BC521"/>
      <c r="BD521"/>
      <c r="BE521"/>
      <c r="BF521" s="29"/>
      <c r="BG521" s="29"/>
      <c r="BH521" s="12"/>
      <c r="BI521" s="12"/>
      <c r="BJ521" s="12"/>
    </row>
    <row r="522" spans="1:62" x14ac:dyDescent="0.25">
      <c r="A522"/>
      <c r="B522"/>
      <c r="C522"/>
      <c r="D522"/>
      <c r="E522"/>
      <c r="BA522"/>
      <c r="BB522"/>
      <c r="BC522"/>
      <c r="BD522"/>
      <c r="BE522"/>
      <c r="BF522" s="29"/>
      <c r="BG522" s="29"/>
      <c r="BH522" s="12"/>
      <c r="BI522" s="12"/>
      <c r="BJ522" s="12"/>
    </row>
    <row r="523" spans="1:62" x14ac:dyDescent="0.25">
      <c r="A523"/>
      <c r="B523"/>
      <c r="C523"/>
      <c r="D523"/>
      <c r="E523"/>
      <c r="BA523"/>
      <c r="BB523"/>
      <c r="BC523"/>
      <c r="BD523"/>
      <c r="BE523"/>
      <c r="BF523" s="29"/>
      <c r="BG523" s="29"/>
      <c r="BH523" s="12"/>
      <c r="BI523" s="12"/>
      <c r="BJ523" s="12"/>
    </row>
    <row r="524" spans="1:62" x14ac:dyDescent="0.25">
      <c r="A524"/>
      <c r="B524"/>
      <c r="C524"/>
      <c r="D524"/>
      <c r="E524"/>
      <c r="F524" s="16"/>
      <c r="G524" s="16"/>
      <c r="BA524"/>
      <c r="BB524"/>
      <c r="BC524"/>
      <c r="BD524"/>
      <c r="BE524"/>
      <c r="BF524" s="16"/>
      <c r="BG524" s="16"/>
      <c r="BH524" s="12"/>
      <c r="BI524" s="12"/>
      <c r="BJ524" s="12"/>
    </row>
    <row r="525" spans="1:62" x14ac:dyDescent="0.25">
      <c r="A525"/>
      <c r="B525"/>
      <c r="C525"/>
      <c r="D525"/>
      <c r="E525"/>
      <c r="BA525"/>
      <c r="BB525"/>
      <c r="BC525"/>
      <c r="BD525"/>
      <c r="BE525"/>
      <c r="BF525" s="29"/>
      <c r="BG525" s="29"/>
      <c r="BH525" s="12"/>
      <c r="BI525" s="12"/>
      <c r="BJ525" s="12"/>
    </row>
    <row r="526" spans="1:62" x14ac:dyDescent="0.25">
      <c r="A526"/>
      <c r="B526"/>
      <c r="C526"/>
      <c r="D526"/>
      <c r="E526"/>
      <c r="BA526"/>
      <c r="BB526"/>
      <c r="BC526"/>
      <c r="BD526"/>
      <c r="BE526"/>
      <c r="BF526" s="29"/>
      <c r="BG526" s="29"/>
      <c r="BH526" s="12"/>
      <c r="BI526" s="12"/>
      <c r="BJ526" s="12"/>
    </row>
    <row r="527" spans="1:62" x14ac:dyDescent="0.25">
      <c r="A527"/>
      <c r="B527"/>
      <c r="C527"/>
      <c r="D527"/>
      <c r="E527"/>
      <c r="F527" s="16"/>
      <c r="G527" s="16"/>
      <c r="BA527"/>
      <c r="BB527"/>
      <c r="BC527"/>
      <c r="BD527"/>
      <c r="BE527"/>
      <c r="BF527" s="16"/>
      <c r="BG527" s="16"/>
      <c r="BH527" s="12"/>
      <c r="BI527" s="12"/>
      <c r="BJ527" s="12"/>
    </row>
    <row r="528" spans="1:62" x14ac:dyDescent="0.25">
      <c r="A528"/>
      <c r="B528"/>
      <c r="C528"/>
      <c r="D528"/>
      <c r="E528"/>
      <c r="F528" s="16"/>
      <c r="G528" s="16"/>
      <c r="BA528"/>
      <c r="BB528"/>
      <c r="BC528"/>
      <c r="BD528"/>
      <c r="BE528"/>
      <c r="BF528" s="16"/>
      <c r="BG528" s="16"/>
      <c r="BH528" s="12"/>
      <c r="BI528" s="12"/>
      <c r="BJ528" s="12"/>
    </row>
    <row r="529" spans="1:62" x14ac:dyDescent="0.25">
      <c r="A529"/>
      <c r="B529"/>
      <c r="C529"/>
      <c r="D529"/>
      <c r="E529"/>
      <c r="F529" s="16"/>
      <c r="G529" s="16"/>
      <c r="BA529"/>
      <c r="BB529"/>
      <c r="BC529"/>
      <c r="BD529"/>
      <c r="BE529"/>
      <c r="BF529" s="16"/>
      <c r="BG529" s="16"/>
      <c r="BH529" s="12"/>
      <c r="BI529" s="12"/>
      <c r="BJ529" s="12"/>
    </row>
    <row r="530" spans="1:62" x14ac:dyDescent="0.25">
      <c r="A530"/>
      <c r="B530"/>
      <c r="C530"/>
      <c r="D530"/>
      <c r="E530"/>
      <c r="BA530"/>
      <c r="BB530"/>
      <c r="BC530"/>
      <c r="BD530"/>
      <c r="BE530"/>
      <c r="BF530" s="29"/>
      <c r="BG530" s="29"/>
      <c r="BH530" s="12"/>
      <c r="BI530" s="12"/>
      <c r="BJ530" s="12"/>
    </row>
    <row r="531" spans="1:62" x14ac:dyDescent="0.25">
      <c r="A531"/>
      <c r="B531"/>
      <c r="C531"/>
      <c r="D531"/>
      <c r="E531"/>
      <c r="F531" s="16"/>
      <c r="G531" s="16"/>
      <c r="BA531"/>
      <c r="BB531"/>
      <c r="BC531"/>
      <c r="BD531"/>
      <c r="BE531"/>
      <c r="BF531" s="16"/>
      <c r="BG531" s="16"/>
      <c r="BH531" s="12"/>
      <c r="BI531" s="12"/>
      <c r="BJ531" s="12"/>
    </row>
    <row r="532" spans="1:62" x14ac:dyDescent="0.25">
      <c r="A532"/>
      <c r="B532"/>
      <c r="C532"/>
      <c r="D532"/>
      <c r="E532"/>
      <c r="F532" s="16"/>
      <c r="BA532"/>
      <c r="BB532"/>
      <c r="BC532"/>
      <c r="BD532"/>
      <c r="BE532"/>
      <c r="BF532" s="16"/>
      <c r="BG532" s="29"/>
      <c r="BH532" s="12"/>
      <c r="BI532" s="12"/>
      <c r="BJ532" s="12"/>
    </row>
    <row r="533" spans="1:62" x14ac:dyDescent="0.25">
      <c r="A533"/>
      <c r="B533"/>
      <c r="C533"/>
      <c r="D533"/>
      <c r="E533"/>
      <c r="BA533"/>
      <c r="BB533"/>
      <c r="BC533"/>
      <c r="BD533"/>
      <c r="BE533"/>
      <c r="BF533" s="29"/>
      <c r="BG533" s="29"/>
      <c r="BH533" s="12"/>
      <c r="BI533" s="12"/>
      <c r="BJ533" s="12"/>
    </row>
    <row r="534" spans="1:62" x14ac:dyDescent="0.25">
      <c r="A534"/>
      <c r="B534"/>
      <c r="C534"/>
      <c r="D534"/>
      <c r="E534"/>
      <c r="BA534"/>
      <c r="BB534"/>
      <c r="BC534"/>
      <c r="BD534"/>
      <c r="BE534"/>
      <c r="BF534" s="29"/>
      <c r="BG534" s="29"/>
      <c r="BH534" s="12"/>
      <c r="BI534" s="12"/>
      <c r="BJ534" s="12"/>
    </row>
    <row r="535" spans="1:62" x14ac:dyDescent="0.25">
      <c r="A535"/>
      <c r="B535"/>
      <c r="C535"/>
      <c r="D535"/>
      <c r="E535"/>
      <c r="BA535"/>
      <c r="BB535"/>
      <c r="BC535"/>
      <c r="BD535"/>
      <c r="BE535"/>
      <c r="BF535" s="29"/>
      <c r="BG535" s="29"/>
      <c r="BH535" s="12"/>
      <c r="BI535" s="12"/>
      <c r="BJ535" s="12"/>
    </row>
    <row r="536" spans="1:62" x14ac:dyDescent="0.25">
      <c r="A536"/>
      <c r="B536"/>
      <c r="C536"/>
      <c r="D536"/>
      <c r="E536"/>
      <c r="BA536"/>
      <c r="BB536"/>
      <c r="BC536"/>
      <c r="BD536"/>
      <c r="BE536"/>
      <c r="BF536" s="29"/>
      <c r="BG536" s="29"/>
      <c r="BH536" s="12"/>
      <c r="BI536" s="12"/>
      <c r="BJ536" s="12"/>
    </row>
    <row r="537" spans="1:62" x14ac:dyDescent="0.25">
      <c r="A537"/>
      <c r="B537"/>
      <c r="C537"/>
      <c r="D537"/>
      <c r="E537"/>
      <c r="BA537"/>
      <c r="BB537"/>
      <c r="BC537"/>
      <c r="BD537"/>
      <c r="BE537"/>
      <c r="BF537" s="29"/>
      <c r="BG537" s="29"/>
      <c r="BH537" s="12"/>
      <c r="BI537" s="12"/>
      <c r="BJ537" s="12"/>
    </row>
    <row r="538" spans="1:62" x14ac:dyDescent="0.25">
      <c r="A538"/>
      <c r="B538"/>
      <c r="C538"/>
      <c r="D538"/>
      <c r="E538"/>
      <c r="BA538"/>
      <c r="BB538"/>
      <c r="BC538"/>
      <c r="BD538"/>
      <c r="BE538"/>
      <c r="BF538" s="29"/>
      <c r="BG538" s="29"/>
      <c r="BH538" s="12"/>
      <c r="BI538" s="12"/>
      <c r="BJ538" s="12"/>
    </row>
    <row r="539" spans="1:62" x14ac:dyDescent="0.25">
      <c r="A539"/>
      <c r="B539"/>
      <c r="C539"/>
      <c r="D539"/>
      <c r="E539"/>
      <c r="F539" s="16"/>
      <c r="BA539"/>
      <c r="BB539"/>
      <c r="BC539"/>
      <c r="BD539"/>
      <c r="BE539"/>
      <c r="BF539" s="16"/>
      <c r="BG539" s="29"/>
      <c r="BH539" s="12"/>
      <c r="BI539" s="12"/>
      <c r="BJ539" s="12"/>
    </row>
    <row r="540" spans="1:62" x14ac:dyDescent="0.25">
      <c r="A540"/>
      <c r="B540"/>
      <c r="C540"/>
      <c r="D540"/>
      <c r="E540"/>
      <c r="BA540"/>
      <c r="BB540"/>
      <c r="BC540"/>
      <c r="BD540"/>
      <c r="BE540"/>
      <c r="BF540" s="29"/>
      <c r="BG540" s="29"/>
      <c r="BH540" s="12"/>
      <c r="BI540" s="12"/>
      <c r="BJ540" s="12"/>
    </row>
    <row r="541" spans="1:62" x14ac:dyDescent="0.25">
      <c r="A541"/>
      <c r="B541"/>
      <c r="C541"/>
      <c r="D541"/>
      <c r="E541"/>
      <c r="BA541"/>
      <c r="BB541"/>
      <c r="BC541"/>
      <c r="BD541"/>
      <c r="BE541"/>
      <c r="BF541" s="29"/>
      <c r="BG541" s="29"/>
      <c r="BH541" s="12"/>
      <c r="BI541" s="12"/>
      <c r="BJ541" s="12"/>
    </row>
    <row r="542" spans="1:62" x14ac:dyDescent="0.25">
      <c r="A542"/>
      <c r="B542"/>
      <c r="C542"/>
      <c r="D542"/>
      <c r="E542"/>
      <c r="BA542"/>
      <c r="BB542"/>
      <c r="BC542"/>
      <c r="BD542"/>
      <c r="BE542"/>
      <c r="BF542" s="29"/>
      <c r="BG542" s="29"/>
      <c r="BH542" s="12"/>
      <c r="BI542" s="12"/>
      <c r="BJ542" s="12"/>
    </row>
    <row r="543" spans="1:62" x14ac:dyDescent="0.25">
      <c r="A543"/>
      <c r="B543"/>
      <c r="C543"/>
      <c r="D543"/>
      <c r="E543"/>
      <c r="BA543"/>
      <c r="BB543"/>
      <c r="BC543"/>
      <c r="BD543"/>
      <c r="BE543"/>
      <c r="BF543" s="29"/>
      <c r="BG543" s="29"/>
      <c r="BH543" s="12"/>
      <c r="BI543" s="12"/>
      <c r="BJ543" s="12"/>
    </row>
    <row r="544" spans="1:62" x14ac:dyDescent="0.25">
      <c r="A544"/>
      <c r="B544"/>
      <c r="C544"/>
      <c r="D544"/>
      <c r="E544"/>
      <c r="BA544"/>
      <c r="BB544"/>
      <c r="BC544"/>
      <c r="BD544"/>
      <c r="BE544"/>
      <c r="BF544" s="29"/>
      <c r="BG544" s="29"/>
      <c r="BH544" s="12"/>
      <c r="BI544" s="12"/>
      <c r="BJ544" s="12"/>
    </row>
    <row r="545" spans="1:62" x14ac:dyDescent="0.25">
      <c r="A545"/>
      <c r="B545"/>
      <c r="C545"/>
      <c r="D545"/>
      <c r="E545"/>
      <c r="BA545"/>
      <c r="BB545"/>
      <c r="BC545"/>
      <c r="BD545"/>
      <c r="BE545"/>
      <c r="BF545" s="29"/>
      <c r="BG545" s="29"/>
      <c r="BH545" s="12"/>
      <c r="BI545" s="12"/>
      <c r="BJ545" s="12"/>
    </row>
    <row r="546" spans="1:62" x14ac:dyDescent="0.25">
      <c r="A546"/>
      <c r="B546"/>
      <c r="C546"/>
      <c r="D546"/>
      <c r="E546"/>
      <c r="BA546"/>
      <c r="BB546"/>
      <c r="BC546"/>
      <c r="BD546"/>
      <c r="BE546"/>
      <c r="BF546" s="29"/>
      <c r="BG546" s="29"/>
      <c r="BH546" s="12"/>
      <c r="BI546" s="12"/>
      <c r="BJ546" s="12"/>
    </row>
    <row r="547" spans="1:62" x14ac:dyDescent="0.25">
      <c r="A547"/>
      <c r="B547"/>
      <c r="C547"/>
      <c r="D547"/>
      <c r="E547"/>
      <c r="BA547"/>
      <c r="BB547"/>
      <c r="BC547"/>
      <c r="BD547"/>
      <c r="BE547"/>
      <c r="BF547" s="29"/>
      <c r="BG547" s="29"/>
      <c r="BH547" s="12"/>
      <c r="BI547" s="12"/>
      <c r="BJ547" s="12"/>
    </row>
    <row r="548" spans="1:62" x14ac:dyDescent="0.25">
      <c r="A548"/>
      <c r="B548"/>
      <c r="C548"/>
      <c r="D548"/>
      <c r="E548"/>
      <c r="BA548"/>
      <c r="BB548"/>
      <c r="BC548"/>
      <c r="BD548"/>
      <c r="BE548"/>
      <c r="BF548" s="29"/>
      <c r="BG548" s="29"/>
      <c r="BH548" s="12"/>
      <c r="BI548" s="12"/>
      <c r="BJ548" s="12"/>
    </row>
    <row r="549" spans="1:62" x14ac:dyDescent="0.25">
      <c r="A549"/>
      <c r="B549"/>
      <c r="C549"/>
      <c r="D549"/>
      <c r="E549"/>
      <c r="F549" s="16"/>
      <c r="G549" s="16"/>
      <c r="BA549"/>
      <c r="BB549"/>
      <c r="BC549"/>
      <c r="BD549"/>
      <c r="BE549"/>
      <c r="BF549" s="16"/>
      <c r="BG549" s="16"/>
      <c r="BH549" s="12"/>
      <c r="BI549" s="12"/>
      <c r="BJ549" s="12"/>
    </row>
    <row r="550" spans="1:62" x14ac:dyDescent="0.25">
      <c r="A550"/>
      <c r="B550"/>
      <c r="C550"/>
      <c r="D550"/>
      <c r="E550"/>
      <c r="BA550"/>
      <c r="BB550"/>
      <c r="BC550"/>
      <c r="BD550"/>
      <c r="BE550"/>
      <c r="BF550" s="29"/>
      <c r="BG550" s="29"/>
      <c r="BH550" s="12"/>
      <c r="BI550" s="12"/>
      <c r="BJ550" s="12"/>
    </row>
    <row r="551" spans="1:62" x14ac:dyDescent="0.25">
      <c r="A551"/>
      <c r="B551"/>
      <c r="C551"/>
      <c r="D551"/>
      <c r="E551"/>
      <c r="BA551"/>
      <c r="BB551"/>
      <c r="BC551"/>
      <c r="BD551"/>
      <c r="BE551"/>
      <c r="BF551" s="29"/>
      <c r="BG551" s="29"/>
      <c r="BH551" s="12"/>
      <c r="BI551" s="12"/>
      <c r="BJ551" s="12"/>
    </row>
    <row r="552" spans="1:62" x14ac:dyDescent="0.25">
      <c r="A552"/>
      <c r="B552"/>
      <c r="C552"/>
      <c r="D552"/>
      <c r="E552"/>
      <c r="BA552"/>
      <c r="BB552"/>
      <c r="BC552"/>
      <c r="BD552"/>
      <c r="BE552"/>
      <c r="BF552" s="29"/>
      <c r="BG552" s="29"/>
      <c r="BH552" s="12"/>
      <c r="BI552" s="12"/>
      <c r="BJ552" s="12"/>
    </row>
    <row r="553" spans="1:62" x14ac:dyDescent="0.25">
      <c r="A553"/>
      <c r="B553"/>
      <c r="C553"/>
      <c r="D553"/>
      <c r="E553"/>
      <c r="BA553"/>
      <c r="BB553"/>
      <c r="BC553"/>
      <c r="BD553"/>
      <c r="BE553"/>
      <c r="BF553" s="29"/>
      <c r="BG553" s="29"/>
      <c r="BH553" s="12"/>
      <c r="BI553" s="12"/>
      <c r="BJ553" s="12"/>
    </row>
    <row r="554" spans="1:62" x14ac:dyDescent="0.25">
      <c r="A554"/>
      <c r="B554"/>
      <c r="C554"/>
      <c r="D554"/>
      <c r="E554"/>
      <c r="BA554"/>
      <c r="BB554"/>
      <c r="BC554"/>
      <c r="BD554"/>
      <c r="BE554"/>
      <c r="BF554" s="29"/>
      <c r="BG554" s="29"/>
      <c r="BH554" s="12"/>
      <c r="BI554" s="12"/>
      <c r="BJ554" s="12"/>
    </row>
    <row r="555" spans="1:62" x14ac:dyDescent="0.25">
      <c r="A555"/>
      <c r="B555"/>
      <c r="C555"/>
      <c r="D555"/>
      <c r="E555"/>
      <c r="BA555"/>
      <c r="BB555"/>
      <c r="BC555"/>
      <c r="BD555"/>
      <c r="BE555"/>
      <c r="BF555" s="29"/>
      <c r="BG555" s="29"/>
      <c r="BH555" s="12"/>
      <c r="BI555" s="12"/>
      <c r="BJ555" s="12"/>
    </row>
    <row r="556" spans="1:62" x14ac:dyDescent="0.25">
      <c r="A556"/>
      <c r="B556"/>
      <c r="C556"/>
      <c r="D556"/>
      <c r="E556"/>
      <c r="BA556"/>
      <c r="BB556"/>
      <c r="BC556"/>
      <c r="BD556"/>
      <c r="BE556"/>
      <c r="BF556" s="29"/>
      <c r="BG556" s="29"/>
      <c r="BH556" s="12"/>
      <c r="BI556" s="12"/>
      <c r="BJ556" s="12"/>
    </row>
    <row r="557" spans="1:62" ht="15" customHeight="1" x14ac:dyDescent="0.25">
      <c r="A557"/>
      <c r="B557"/>
      <c r="C557"/>
      <c r="D557"/>
      <c r="E557"/>
      <c r="BA557"/>
      <c r="BB557"/>
      <c r="BC557"/>
      <c r="BD557"/>
      <c r="BE557"/>
      <c r="BF557" s="29"/>
      <c r="BG557" s="29"/>
      <c r="BH557" s="12"/>
      <c r="BI557" s="12"/>
      <c r="BJ557" s="12"/>
    </row>
    <row r="558" spans="1:62" x14ac:dyDescent="0.25">
      <c r="A558"/>
      <c r="B558"/>
      <c r="C558"/>
      <c r="D558"/>
      <c r="E558"/>
      <c r="BA558"/>
      <c r="BB558"/>
      <c r="BC558"/>
      <c r="BD558"/>
      <c r="BE558"/>
      <c r="BF558" s="29"/>
      <c r="BG558" s="29"/>
      <c r="BH558" s="12"/>
      <c r="BI558" s="12"/>
      <c r="BJ558" s="12"/>
    </row>
    <row r="559" spans="1:62" x14ac:dyDescent="0.25">
      <c r="A559"/>
      <c r="B559"/>
      <c r="C559"/>
      <c r="D559"/>
      <c r="E559"/>
      <c r="BA559"/>
      <c r="BB559"/>
      <c r="BC559"/>
      <c r="BD559"/>
      <c r="BE559"/>
      <c r="BF559" s="29"/>
      <c r="BG559" s="29"/>
      <c r="BH559" s="12"/>
      <c r="BI559" s="12"/>
      <c r="BJ559" s="12"/>
    </row>
    <row r="560" spans="1:62" x14ac:dyDescent="0.25">
      <c r="A560"/>
      <c r="B560"/>
      <c r="C560"/>
      <c r="D560"/>
      <c r="E560"/>
      <c r="BA560"/>
      <c r="BB560"/>
      <c r="BC560"/>
      <c r="BD560"/>
      <c r="BE560"/>
      <c r="BF560" s="29"/>
      <c r="BG560" s="29"/>
      <c r="BH560" s="12"/>
      <c r="BI560" s="12"/>
      <c r="BJ560" s="12"/>
    </row>
    <row r="561" spans="1:62" x14ac:dyDescent="0.25">
      <c r="A561"/>
      <c r="B561"/>
      <c r="C561"/>
      <c r="D561"/>
      <c r="E561"/>
      <c r="BA561"/>
      <c r="BB561"/>
      <c r="BC561"/>
      <c r="BD561"/>
      <c r="BE561"/>
      <c r="BF561" s="29"/>
      <c r="BG561" s="29"/>
      <c r="BH561" s="12"/>
      <c r="BI561" s="12"/>
      <c r="BJ561" s="12"/>
    </row>
    <row r="562" spans="1:62" x14ac:dyDescent="0.25">
      <c r="A562"/>
      <c r="B562"/>
      <c r="C562"/>
      <c r="D562"/>
      <c r="E562"/>
      <c r="BA562"/>
      <c r="BB562"/>
      <c r="BC562"/>
      <c r="BD562"/>
      <c r="BE562"/>
      <c r="BF562" s="29"/>
      <c r="BG562" s="29"/>
      <c r="BH562" s="12"/>
      <c r="BI562" s="12"/>
      <c r="BJ562" s="12"/>
    </row>
    <row r="563" spans="1:62" x14ac:dyDescent="0.25">
      <c r="A563"/>
      <c r="B563"/>
      <c r="C563"/>
      <c r="D563"/>
      <c r="E563"/>
      <c r="F563" s="16"/>
      <c r="G563" s="16"/>
      <c r="BA563"/>
      <c r="BB563"/>
      <c r="BC563"/>
      <c r="BD563"/>
      <c r="BE563"/>
      <c r="BF563" s="16"/>
      <c r="BG563" s="16"/>
      <c r="BH563" s="12"/>
      <c r="BI563" s="12"/>
      <c r="BJ563" s="12"/>
    </row>
    <row r="564" spans="1:62" x14ac:dyDescent="0.25">
      <c r="A564"/>
      <c r="B564"/>
      <c r="C564"/>
      <c r="D564"/>
      <c r="E564"/>
      <c r="BA564"/>
      <c r="BB564"/>
      <c r="BC564"/>
      <c r="BD564"/>
      <c r="BE564"/>
      <c r="BF564" s="29"/>
      <c r="BG564" s="29"/>
      <c r="BH564" s="12"/>
      <c r="BI564" s="12"/>
      <c r="BJ564" s="12"/>
    </row>
    <row r="565" spans="1:62" x14ac:dyDescent="0.25">
      <c r="A565"/>
      <c r="B565"/>
      <c r="C565"/>
      <c r="D565"/>
      <c r="E565"/>
      <c r="BA565"/>
      <c r="BB565"/>
      <c r="BC565"/>
      <c r="BD565"/>
      <c r="BE565"/>
      <c r="BF565" s="29"/>
      <c r="BG565" s="29"/>
      <c r="BH565" s="12"/>
      <c r="BI565" s="12"/>
      <c r="BJ565" s="12"/>
    </row>
    <row r="566" spans="1:62" x14ac:dyDescent="0.25">
      <c r="A566"/>
      <c r="B566"/>
      <c r="C566"/>
      <c r="D566"/>
      <c r="E566"/>
      <c r="BA566"/>
      <c r="BB566"/>
      <c r="BC566"/>
      <c r="BD566"/>
      <c r="BE566"/>
      <c r="BF566" s="29"/>
      <c r="BG566" s="29"/>
      <c r="BH566" s="12"/>
      <c r="BI566" s="12"/>
      <c r="BJ566" s="12"/>
    </row>
    <row r="567" spans="1:62" x14ac:dyDescent="0.25">
      <c r="A567"/>
      <c r="B567"/>
      <c r="C567"/>
      <c r="D567"/>
      <c r="E567"/>
      <c r="BA567"/>
      <c r="BB567"/>
      <c r="BC567"/>
      <c r="BD567"/>
      <c r="BE567"/>
      <c r="BF567" s="29"/>
      <c r="BG567" s="29"/>
      <c r="BH567" s="12"/>
      <c r="BI567" s="12"/>
      <c r="BJ567" s="12"/>
    </row>
    <row r="568" spans="1:62" x14ac:dyDescent="0.25">
      <c r="A568"/>
      <c r="B568"/>
      <c r="C568"/>
      <c r="D568"/>
      <c r="E568"/>
      <c r="BA568"/>
      <c r="BB568"/>
      <c r="BC568"/>
      <c r="BD568"/>
      <c r="BE568"/>
      <c r="BF568" s="29"/>
      <c r="BG568" s="29"/>
      <c r="BH568" s="12"/>
      <c r="BI568" s="12"/>
      <c r="BJ568" s="12"/>
    </row>
    <row r="569" spans="1:62" x14ac:dyDescent="0.25">
      <c r="A569"/>
      <c r="B569"/>
      <c r="C569"/>
      <c r="D569"/>
      <c r="E569"/>
      <c r="BA569"/>
      <c r="BB569"/>
      <c r="BC569"/>
      <c r="BD569"/>
      <c r="BE569"/>
      <c r="BF569" s="29"/>
      <c r="BG569" s="29"/>
      <c r="BH569" s="12"/>
      <c r="BI569" s="12"/>
      <c r="BJ569" s="12"/>
    </row>
    <row r="570" spans="1:62" x14ac:dyDescent="0.25">
      <c r="A570"/>
      <c r="B570"/>
      <c r="C570"/>
      <c r="D570"/>
      <c r="E570"/>
      <c r="BA570"/>
      <c r="BB570"/>
      <c r="BC570"/>
      <c r="BD570"/>
      <c r="BE570"/>
      <c r="BF570" s="29"/>
      <c r="BG570" s="29"/>
      <c r="BH570" s="12"/>
      <c r="BI570" s="12"/>
      <c r="BJ570" s="12"/>
    </row>
    <row r="571" spans="1:62" x14ac:dyDescent="0.25">
      <c r="A571"/>
      <c r="B571"/>
      <c r="C571"/>
      <c r="D571"/>
      <c r="E571"/>
      <c r="F571" s="16"/>
      <c r="BA571"/>
      <c r="BB571"/>
      <c r="BC571"/>
      <c r="BD571"/>
      <c r="BE571"/>
      <c r="BF571" s="16"/>
      <c r="BG571" s="29"/>
      <c r="BH571" s="12"/>
      <c r="BI571" s="12"/>
      <c r="BJ571" s="12"/>
    </row>
    <row r="572" spans="1:62" x14ac:dyDescent="0.25">
      <c r="A572"/>
      <c r="B572"/>
      <c r="C572"/>
      <c r="D572"/>
      <c r="E572"/>
      <c r="BA572"/>
      <c r="BB572"/>
      <c r="BC572"/>
      <c r="BD572"/>
      <c r="BE572"/>
      <c r="BF572" s="29"/>
      <c r="BG572" s="29"/>
      <c r="BH572" s="12"/>
      <c r="BI572" s="12"/>
      <c r="BJ572" s="12"/>
    </row>
    <row r="573" spans="1:62" x14ac:dyDescent="0.25">
      <c r="A573"/>
      <c r="B573"/>
      <c r="C573"/>
      <c r="D573"/>
      <c r="E573"/>
      <c r="BA573"/>
      <c r="BB573"/>
      <c r="BC573"/>
      <c r="BD573"/>
      <c r="BE573"/>
      <c r="BF573" s="29"/>
      <c r="BG573" s="29"/>
      <c r="BH573" s="12"/>
      <c r="BI573" s="12"/>
      <c r="BJ573" s="12"/>
    </row>
    <row r="574" spans="1:62" x14ac:dyDescent="0.25">
      <c r="A574"/>
      <c r="B574"/>
      <c r="C574"/>
      <c r="D574"/>
      <c r="E574"/>
      <c r="BA574"/>
      <c r="BB574"/>
      <c r="BC574"/>
      <c r="BD574"/>
      <c r="BE574"/>
      <c r="BF574" s="29"/>
      <c r="BG574" s="29"/>
      <c r="BH574" s="12"/>
      <c r="BI574" s="12"/>
      <c r="BJ574" s="12"/>
    </row>
    <row r="575" spans="1:62" x14ac:dyDescent="0.25">
      <c r="A575"/>
      <c r="B575"/>
      <c r="C575"/>
      <c r="D575"/>
      <c r="E575"/>
      <c r="BA575"/>
      <c r="BB575"/>
      <c r="BC575"/>
      <c r="BD575"/>
      <c r="BE575"/>
      <c r="BF575" s="29"/>
      <c r="BG575" s="29"/>
      <c r="BH575" s="12"/>
      <c r="BI575" s="12"/>
      <c r="BJ575" s="12"/>
    </row>
    <row r="576" spans="1:62" x14ac:dyDescent="0.25">
      <c r="A576"/>
      <c r="B576"/>
      <c r="C576"/>
      <c r="D576"/>
      <c r="E576"/>
      <c r="F576" s="16"/>
      <c r="G576" s="16"/>
      <c r="BA576"/>
      <c r="BB576"/>
      <c r="BC576"/>
      <c r="BD576"/>
      <c r="BE576"/>
      <c r="BF576" s="16"/>
      <c r="BG576" s="16"/>
      <c r="BH576" s="12"/>
      <c r="BI576" s="12"/>
      <c r="BJ576" s="12"/>
    </row>
    <row r="577" spans="1:62" x14ac:dyDescent="0.25">
      <c r="A577"/>
      <c r="B577"/>
      <c r="C577"/>
      <c r="D577"/>
      <c r="E577"/>
      <c r="F577" s="16"/>
      <c r="BA577"/>
      <c r="BB577"/>
      <c r="BC577"/>
      <c r="BD577"/>
      <c r="BE577"/>
      <c r="BF577" s="16"/>
      <c r="BG577" s="29"/>
      <c r="BH577" s="12"/>
      <c r="BI577" s="12"/>
      <c r="BJ577" s="12"/>
    </row>
    <row r="578" spans="1:62" x14ac:dyDescent="0.25">
      <c r="A578"/>
      <c r="B578"/>
      <c r="C578"/>
      <c r="D578"/>
      <c r="E578"/>
      <c r="BA578"/>
      <c r="BB578"/>
      <c r="BC578"/>
      <c r="BD578"/>
      <c r="BE578"/>
      <c r="BF578" s="29"/>
      <c r="BG578" s="29"/>
      <c r="BH578" s="12"/>
      <c r="BI578" s="12"/>
      <c r="BJ578" s="12"/>
    </row>
    <row r="579" spans="1:62" x14ac:dyDescent="0.25">
      <c r="A579"/>
      <c r="B579"/>
      <c r="C579"/>
      <c r="D579"/>
      <c r="E579"/>
      <c r="BA579"/>
      <c r="BB579"/>
      <c r="BC579"/>
      <c r="BD579"/>
      <c r="BE579"/>
      <c r="BF579" s="29"/>
      <c r="BG579" s="29"/>
      <c r="BH579" s="12"/>
      <c r="BI579" s="12"/>
      <c r="BJ579" s="12"/>
    </row>
    <row r="580" spans="1:62" x14ac:dyDescent="0.25">
      <c r="A580"/>
      <c r="B580"/>
      <c r="C580"/>
      <c r="D580"/>
      <c r="E580"/>
      <c r="BA580"/>
      <c r="BB580"/>
      <c r="BC580"/>
      <c r="BD580"/>
      <c r="BE580"/>
      <c r="BF580" s="29"/>
      <c r="BG580" s="29"/>
      <c r="BH580" s="12"/>
      <c r="BI580" s="12"/>
      <c r="BJ580" s="12"/>
    </row>
    <row r="581" spans="1:62" x14ac:dyDescent="0.25">
      <c r="A581"/>
      <c r="B581"/>
      <c r="C581"/>
      <c r="D581"/>
      <c r="E581"/>
      <c r="F581" s="16"/>
      <c r="BA581"/>
      <c r="BB581"/>
      <c r="BC581"/>
      <c r="BD581"/>
      <c r="BE581"/>
      <c r="BF581" s="16"/>
      <c r="BG581" s="29"/>
      <c r="BH581" s="12"/>
      <c r="BI581" s="12"/>
      <c r="BJ581" s="12"/>
    </row>
    <row r="582" spans="1:62" x14ac:dyDescent="0.25">
      <c r="A582"/>
      <c r="B582"/>
      <c r="C582"/>
      <c r="D582"/>
      <c r="E582"/>
      <c r="BA582"/>
      <c r="BB582"/>
      <c r="BC582"/>
      <c r="BD582"/>
      <c r="BE582"/>
      <c r="BF582" s="29"/>
      <c r="BG582" s="29"/>
      <c r="BH582" s="12"/>
      <c r="BI582" s="12"/>
      <c r="BJ582" s="12"/>
    </row>
    <row r="583" spans="1:62" x14ac:dyDescent="0.25">
      <c r="A583"/>
      <c r="B583"/>
      <c r="C583"/>
      <c r="D583"/>
      <c r="E583"/>
      <c r="BA583"/>
      <c r="BB583"/>
      <c r="BC583"/>
      <c r="BD583"/>
      <c r="BE583"/>
      <c r="BF583" s="29"/>
      <c r="BG583" s="29"/>
      <c r="BH583" s="12"/>
      <c r="BI583" s="12"/>
      <c r="BJ583" s="12"/>
    </row>
    <row r="584" spans="1:62" x14ac:dyDescent="0.25">
      <c r="A584"/>
      <c r="B584"/>
      <c r="C584"/>
      <c r="D584"/>
      <c r="E584"/>
      <c r="BA584"/>
      <c r="BB584"/>
      <c r="BC584"/>
      <c r="BD584"/>
      <c r="BE584"/>
      <c r="BF584" s="29"/>
      <c r="BG584" s="29"/>
      <c r="BH584" s="12"/>
      <c r="BI584" s="12"/>
      <c r="BJ584" s="12"/>
    </row>
    <row r="585" spans="1:62" x14ac:dyDescent="0.25">
      <c r="A585"/>
      <c r="B585"/>
      <c r="C585"/>
      <c r="D585"/>
      <c r="E585"/>
      <c r="BA585"/>
      <c r="BB585"/>
      <c r="BC585"/>
      <c r="BD585"/>
      <c r="BE585"/>
      <c r="BF585" s="29"/>
      <c r="BG585" s="29"/>
      <c r="BH585" s="12"/>
      <c r="BI585" s="12"/>
      <c r="BJ585" s="12"/>
    </row>
    <row r="586" spans="1:62" x14ac:dyDescent="0.25">
      <c r="A586"/>
      <c r="B586"/>
      <c r="C586"/>
      <c r="D586"/>
      <c r="E586"/>
      <c r="BA586"/>
      <c r="BB586"/>
      <c r="BC586"/>
      <c r="BD586"/>
      <c r="BE586"/>
      <c r="BF586" s="29"/>
      <c r="BG586" s="29"/>
      <c r="BH586" s="12"/>
      <c r="BI586" s="12"/>
      <c r="BJ586" s="12"/>
    </row>
    <row r="587" spans="1:62" x14ac:dyDescent="0.25">
      <c r="A587"/>
      <c r="B587"/>
      <c r="C587"/>
      <c r="D587"/>
      <c r="E587"/>
      <c r="F587" s="16"/>
      <c r="G587" s="16"/>
      <c r="BA587"/>
      <c r="BB587"/>
      <c r="BC587"/>
      <c r="BD587"/>
      <c r="BE587"/>
      <c r="BF587" s="16"/>
      <c r="BG587" s="16"/>
      <c r="BH587" s="12"/>
      <c r="BI587" s="12"/>
      <c r="BJ587" s="12"/>
    </row>
    <row r="588" spans="1:62" x14ac:dyDescent="0.25">
      <c r="A588"/>
      <c r="B588"/>
      <c r="C588"/>
      <c r="D588"/>
      <c r="E588"/>
      <c r="BA588"/>
      <c r="BB588"/>
      <c r="BC588"/>
      <c r="BD588"/>
      <c r="BE588"/>
      <c r="BF588" s="29"/>
      <c r="BG588" s="29"/>
      <c r="BH588" s="12"/>
      <c r="BI588" s="12"/>
      <c r="BJ588" s="12"/>
    </row>
    <row r="589" spans="1:62" x14ac:dyDescent="0.25">
      <c r="A589"/>
      <c r="B589"/>
      <c r="C589"/>
      <c r="D589"/>
      <c r="E589"/>
      <c r="F589" s="16"/>
      <c r="G589" s="16"/>
      <c r="BA589"/>
      <c r="BB589"/>
      <c r="BC589"/>
      <c r="BD589"/>
      <c r="BE589"/>
      <c r="BF589" s="16"/>
      <c r="BG589" s="16"/>
      <c r="BH589" s="12"/>
      <c r="BI589" s="12"/>
      <c r="BJ589" s="12"/>
    </row>
    <row r="590" spans="1:62" x14ac:dyDescent="0.25">
      <c r="A590"/>
      <c r="B590"/>
      <c r="C590"/>
      <c r="D590"/>
      <c r="E590"/>
      <c r="BA590"/>
      <c r="BB590"/>
      <c r="BC590"/>
      <c r="BD590"/>
      <c r="BE590"/>
      <c r="BF590" s="29"/>
      <c r="BG590" s="29"/>
      <c r="BH590" s="12"/>
      <c r="BI590" s="12"/>
      <c r="BJ590" s="12"/>
    </row>
    <row r="591" spans="1:62" x14ac:dyDescent="0.25">
      <c r="A591"/>
      <c r="B591"/>
      <c r="C591"/>
      <c r="D591"/>
      <c r="E591"/>
      <c r="BA591"/>
      <c r="BB591"/>
      <c r="BC591"/>
      <c r="BD591"/>
      <c r="BE591"/>
      <c r="BF591" s="29"/>
      <c r="BG591" s="29"/>
      <c r="BH591" s="12"/>
      <c r="BI591" s="12"/>
      <c r="BJ591" s="12"/>
    </row>
    <row r="592" spans="1:62" x14ac:dyDescent="0.25">
      <c r="A592"/>
      <c r="B592"/>
      <c r="C592"/>
      <c r="D592"/>
      <c r="E592"/>
      <c r="BA592"/>
      <c r="BB592"/>
      <c r="BC592"/>
      <c r="BD592"/>
      <c r="BE592"/>
      <c r="BF592" s="29"/>
      <c r="BG592" s="29"/>
      <c r="BH592" s="12"/>
      <c r="BI592" s="12"/>
      <c r="BJ592" s="12"/>
    </row>
    <row r="593" spans="1:62" x14ac:dyDescent="0.25">
      <c r="A593"/>
      <c r="B593"/>
      <c r="C593"/>
      <c r="D593"/>
      <c r="E593"/>
      <c r="BA593"/>
      <c r="BB593"/>
      <c r="BC593"/>
      <c r="BD593"/>
      <c r="BE593"/>
      <c r="BF593" s="29"/>
      <c r="BG593" s="29"/>
      <c r="BH593" s="12"/>
      <c r="BI593" s="12"/>
      <c r="BJ593" s="12"/>
    </row>
    <row r="594" spans="1:62" x14ac:dyDescent="0.25">
      <c r="A594"/>
      <c r="B594"/>
      <c r="C594"/>
      <c r="D594"/>
      <c r="E594"/>
      <c r="F594" s="16"/>
      <c r="G594" s="16"/>
      <c r="BA594"/>
      <c r="BB594"/>
      <c r="BC594"/>
      <c r="BD594"/>
      <c r="BE594"/>
      <c r="BF594" s="16"/>
      <c r="BG594" s="16"/>
      <c r="BH594" s="12"/>
      <c r="BI594" s="12"/>
      <c r="BJ594" s="12"/>
    </row>
    <row r="595" spans="1:62" x14ac:dyDescent="0.25">
      <c r="A595"/>
      <c r="B595"/>
      <c r="C595"/>
      <c r="D595"/>
      <c r="E595"/>
      <c r="F595" s="16"/>
      <c r="G595" s="16"/>
      <c r="BA595"/>
      <c r="BB595"/>
      <c r="BC595"/>
      <c r="BD595"/>
      <c r="BE595"/>
      <c r="BF595" s="16"/>
      <c r="BG595" s="16"/>
      <c r="BH595" s="12"/>
      <c r="BI595" s="12"/>
      <c r="BJ595" s="12"/>
    </row>
    <row r="596" spans="1:62" x14ac:dyDescent="0.25">
      <c r="A596"/>
      <c r="B596"/>
      <c r="C596"/>
      <c r="D596"/>
      <c r="E596"/>
      <c r="BA596"/>
      <c r="BB596"/>
      <c r="BC596"/>
      <c r="BD596"/>
      <c r="BE596"/>
      <c r="BF596" s="29"/>
      <c r="BG596" s="29"/>
      <c r="BH596" s="12"/>
      <c r="BI596" s="12"/>
      <c r="BJ596" s="12"/>
    </row>
    <row r="597" spans="1:62" x14ac:dyDescent="0.25">
      <c r="A597"/>
      <c r="B597"/>
      <c r="C597"/>
      <c r="D597"/>
      <c r="E597"/>
      <c r="F597" s="16"/>
      <c r="G597" s="16"/>
      <c r="BA597"/>
      <c r="BB597"/>
      <c r="BC597"/>
      <c r="BD597"/>
      <c r="BE597"/>
      <c r="BF597" s="16"/>
      <c r="BG597" s="16"/>
      <c r="BH597" s="12"/>
      <c r="BI597" s="12"/>
      <c r="BJ597" s="12"/>
    </row>
    <row r="598" spans="1:62" x14ac:dyDescent="0.25">
      <c r="A598"/>
      <c r="B598"/>
      <c r="C598"/>
      <c r="D598"/>
      <c r="E598"/>
      <c r="BA598"/>
      <c r="BB598"/>
      <c r="BC598"/>
      <c r="BD598"/>
      <c r="BE598"/>
      <c r="BF598" s="29"/>
      <c r="BG598" s="29"/>
      <c r="BH598" s="12"/>
      <c r="BI598" s="12"/>
      <c r="BJ598" s="12"/>
    </row>
    <row r="599" spans="1:62" x14ac:dyDescent="0.25">
      <c r="A599"/>
      <c r="B599"/>
      <c r="C599"/>
      <c r="D599"/>
      <c r="E599"/>
      <c r="BA599"/>
      <c r="BB599"/>
      <c r="BC599"/>
      <c r="BD599"/>
      <c r="BE599"/>
      <c r="BF599" s="29"/>
      <c r="BG599" s="29"/>
      <c r="BH599" s="12"/>
      <c r="BI599" s="12"/>
      <c r="BJ599" s="12"/>
    </row>
    <row r="600" spans="1:62" x14ac:dyDescent="0.25">
      <c r="A600"/>
      <c r="B600"/>
      <c r="C600"/>
      <c r="D600"/>
      <c r="E600"/>
      <c r="BA600"/>
      <c r="BB600"/>
      <c r="BC600"/>
      <c r="BD600"/>
      <c r="BE600"/>
      <c r="BF600" s="29"/>
      <c r="BG600" s="29"/>
      <c r="BH600" s="12"/>
      <c r="BI600" s="12"/>
      <c r="BJ600" s="12"/>
    </row>
    <row r="601" spans="1:62" x14ac:dyDescent="0.25">
      <c r="A601"/>
      <c r="B601"/>
      <c r="C601"/>
      <c r="D601"/>
      <c r="E601"/>
      <c r="BA601"/>
      <c r="BB601"/>
      <c r="BC601"/>
      <c r="BD601"/>
      <c r="BE601"/>
      <c r="BF601" s="29"/>
      <c r="BG601" s="29"/>
      <c r="BH601" s="12"/>
      <c r="BI601" s="12"/>
      <c r="BJ601" s="12"/>
    </row>
    <row r="602" spans="1:62" x14ac:dyDescent="0.25">
      <c r="A602"/>
      <c r="B602"/>
      <c r="C602"/>
      <c r="D602"/>
      <c r="E602"/>
      <c r="F602" s="16"/>
      <c r="BA602"/>
      <c r="BB602"/>
      <c r="BC602"/>
      <c r="BD602"/>
      <c r="BE602"/>
      <c r="BF602" s="16"/>
      <c r="BG602" s="29"/>
      <c r="BH602" s="12"/>
      <c r="BI602" s="12"/>
      <c r="BJ602" s="12"/>
    </row>
    <row r="603" spans="1:62" x14ac:dyDescent="0.25">
      <c r="A603"/>
      <c r="B603"/>
      <c r="C603"/>
      <c r="D603"/>
      <c r="E603"/>
      <c r="F603" s="16"/>
      <c r="G603" s="16"/>
      <c r="BA603"/>
      <c r="BB603"/>
      <c r="BC603"/>
      <c r="BD603"/>
      <c r="BE603"/>
      <c r="BF603" s="16"/>
      <c r="BG603" s="16"/>
      <c r="BH603" s="12"/>
      <c r="BI603" s="12"/>
      <c r="BJ603" s="12"/>
    </row>
    <row r="604" spans="1:62" x14ac:dyDescent="0.25">
      <c r="A604"/>
      <c r="B604"/>
      <c r="C604"/>
      <c r="D604"/>
      <c r="E604"/>
      <c r="BA604"/>
      <c r="BB604"/>
      <c r="BC604"/>
      <c r="BD604"/>
      <c r="BE604"/>
      <c r="BF604" s="29"/>
      <c r="BG604" s="29"/>
      <c r="BH604" s="12"/>
      <c r="BI604" s="12"/>
      <c r="BJ604" s="12"/>
    </row>
    <row r="605" spans="1:62" x14ac:dyDescent="0.25">
      <c r="A605"/>
      <c r="B605"/>
      <c r="C605"/>
      <c r="D605"/>
      <c r="E605"/>
      <c r="F605" s="16"/>
      <c r="BA605"/>
      <c r="BB605"/>
      <c r="BC605"/>
      <c r="BD605"/>
      <c r="BE605"/>
      <c r="BF605" s="16"/>
      <c r="BG605" s="29"/>
      <c r="BH605" s="12"/>
      <c r="BI605" s="12"/>
      <c r="BJ605" s="12"/>
    </row>
    <row r="606" spans="1:62" x14ac:dyDescent="0.25">
      <c r="A606"/>
      <c r="B606"/>
      <c r="C606"/>
      <c r="D606"/>
      <c r="E606"/>
      <c r="F606" s="16"/>
      <c r="G606" s="16"/>
      <c r="BA606"/>
      <c r="BB606"/>
      <c r="BC606"/>
      <c r="BD606"/>
      <c r="BE606"/>
      <c r="BF606" s="16"/>
      <c r="BG606" s="16"/>
      <c r="BH606" s="12"/>
      <c r="BI606" s="12"/>
      <c r="BJ606" s="12"/>
    </row>
    <row r="607" spans="1:62" x14ac:dyDescent="0.25">
      <c r="A607"/>
      <c r="B607"/>
      <c r="C607"/>
      <c r="D607"/>
      <c r="E607"/>
      <c r="BA607"/>
      <c r="BB607"/>
      <c r="BC607"/>
      <c r="BD607"/>
      <c r="BE607"/>
      <c r="BF607" s="29"/>
      <c r="BG607" s="29"/>
      <c r="BH607" s="12"/>
      <c r="BI607" s="12"/>
      <c r="BJ607" s="12"/>
    </row>
    <row r="608" spans="1:62" x14ac:dyDescent="0.25">
      <c r="A608"/>
      <c r="B608"/>
      <c r="C608"/>
      <c r="D608"/>
      <c r="E608"/>
      <c r="BA608"/>
      <c r="BB608"/>
      <c r="BC608"/>
      <c r="BD608"/>
      <c r="BE608"/>
      <c r="BF608" s="29"/>
      <c r="BG608" s="29"/>
      <c r="BH608" s="12"/>
      <c r="BI608" s="12"/>
      <c r="BJ608" s="12"/>
    </row>
    <row r="609" spans="1:62" x14ac:dyDescent="0.25">
      <c r="A609"/>
      <c r="B609"/>
      <c r="C609"/>
      <c r="D609"/>
      <c r="E609"/>
      <c r="BA609"/>
      <c r="BB609"/>
      <c r="BC609"/>
      <c r="BD609"/>
      <c r="BE609"/>
      <c r="BF609" s="29"/>
      <c r="BG609" s="29"/>
      <c r="BH609" s="12"/>
      <c r="BI609" s="12"/>
      <c r="BJ609" s="12"/>
    </row>
    <row r="610" spans="1:62" x14ac:dyDescent="0.25">
      <c r="A610"/>
      <c r="B610"/>
      <c r="C610"/>
      <c r="D610"/>
      <c r="E610"/>
      <c r="BA610"/>
      <c r="BB610"/>
      <c r="BC610"/>
      <c r="BD610"/>
      <c r="BE610"/>
      <c r="BF610" s="29"/>
      <c r="BG610" s="29"/>
      <c r="BH610" s="12"/>
      <c r="BI610" s="12"/>
      <c r="BJ610" s="12"/>
    </row>
    <row r="611" spans="1:62" x14ac:dyDescent="0.25">
      <c r="A611"/>
      <c r="B611"/>
      <c r="C611"/>
      <c r="D611"/>
      <c r="E611"/>
      <c r="BA611"/>
      <c r="BB611"/>
      <c r="BC611"/>
      <c r="BD611"/>
      <c r="BE611"/>
      <c r="BF611" s="29"/>
      <c r="BG611" s="29"/>
      <c r="BH611" s="12"/>
      <c r="BI611" s="12"/>
      <c r="BJ611" s="12"/>
    </row>
    <row r="612" spans="1:62" x14ac:dyDescent="0.25">
      <c r="A612"/>
      <c r="B612"/>
      <c r="C612"/>
      <c r="D612"/>
      <c r="E612"/>
      <c r="G612" s="16"/>
      <c r="BA612"/>
      <c r="BB612"/>
      <c r="BC612"/>
      <c r="BD612"/>
      <c r="BE612"/>
      <c r="BF612" s="29"/>
      <c r="BG612" s="16"/>
      <c r="BH612" s="12"/>
      <c r="BI612" s="12"/>
      <c r="BJ612" s="12"/>
    </row>
    <row r="613" spans="1:62" x14ac:dyDescent="0.25">
      <c r="A613"/>
      <c r="B613"/>
      <c r="C613"/>
      <c r="D613"/>
      <c r="E613"/>
      <c r="F613" s="16"/>
      <c r="G613" s="16"/>
      <c r="BA613"/>
      <c r="BB613"/>
      <c r="BC613"/>
      <c r="BD613"/>
      <c r="BE613"/>
      <c r="BF613" s="16"/>
      <c r="BG613" s="16"/>
      <c r="BH613" s="12"/>
      <c r="BI613" s="12"/>
      <c r="BJ613" s="12"/>
    </row>
    <row r="614" spans="1:62" x14ac:dyDescent="0.25">
      <c r="A614"/>
      <c r="B614"/>
      <c r="C614"/>
      <c r="D614"/>
      <c r="E614"/>
      <c r="F614" s="16"/>
      <c r="G614" s="16"/>
      <c r="BA614"/>
      <c r="BB614"/>
      <c r="BC614"/>
      <c r="BD614"/>
      <c r="BE614"/>
      <c r="BF614" s="16"/>
      <c r="BG614" s="16"/>
      <c r="BH614" s="12"/>
      <c r="BI614" s="12"/>
      <c r="BJ614" s="12"/>
    </row>
    <row r="615" spans="1:62" x14ac:dyDescent="0.25">
      <c r="A615"/>
      <c r="B615"/>
      <c r="C615"/>
      <c r="D615"/>
      <c r="E615"/>
      <c r="BA615"/>
      <c r="BB615"/>
      <c r="BC615"/>
      <c r="BD615"/>
      <c r="BE615"/>
      <c r="BF615" s="29"/>
      <c r="BG615" s="29"/>
      <c r="BH615" s="12"/>
      <c r="BI615" s="12"/>
      <c r="BJ615" s="12"/>
    </row>
    <row r="616" spans="1:62" x14ac:dyDescent="0.25">
      <c r="A616"/>
      <c r="B616"/>
      <c r="C616"/>
      <c r="D616"/>
      <c r="E616"/>
      <c r="F616" s="16"/>
      <c r="G616" s="16"/>
      <c r="BA616"/>
      <c r="BB616"/>
      <c r="BC616"/>
      <c r="BD616"/>
      <c r="BE616"/>
      <c r="BF616" s="16"/>
      <c r="BG616" s="16"/>
      <c r="BH616" s="12"/>
      <c r="BI616" s="12"/>
      <c r="BJ616" s="12"/>
    </row>
    <row r="617" spans="1:62" x14ac:dyDescent="0.25">
      <c r="A617"/>
      <c r="B617"/>
      <c r="C617"/>
      <c r="D617"/>
      <c r="E617"/>
      <c r="F617" s="16"/>
      <c r="G617" s="16"/>
      <c r="BA617"/>
      <c r="BB617"/>
      <c r="BC617"/>
      <c r="BD617"/>
      <c r="BE617"/>
      <c r="BF617" s="16"/>
      <c r="BG617" s="16"/>
      <c r="BH617" s="12"/>
      <c r="BI617" s="12"/>
      <c r="BJ617" s="12"/>
    </row>
    <row r="618" spans="1:62" x14ac:dyDescent="0.25">
      <c r="A618"/>
      <c r="B618"/>
      <c r="C618"/>
      <c r="D618"/>
      <c r="E618"/>
      <c r="F618" s="16"/>
      <c r="G618" s="16"/>
      <c r="P618" s="28"/>
      <c r="Q618" s="28"/>
      <c r="R618" s="28"/>
      <c r="BA618"/>
      <c r="BB618"/>
      <c r="BC618"/>
      <c r="BD618"/>
      <c r="BE618"/>
      <c r="BF618" s="16"/>
      <c r="BG618" s="16"/>
      <c r="BH618" s="12"/>
      <c r="BI618" s="12"/>
      <c r="BJ618" s="12"/>
    </row>
    <row r="619" spans="1:62" x14ac:dyDescent="0.25">
      <c r="A619"/>
      <c r="B619"/>
      <c r="C619"/>
      <c r="D619"/>
      <c r="E619"/>
      <c r="BA619"/>
      <c r="BB619"/>
      <c r="BC619"/>
      <c r="BD619"/>
      <c r="BE619"/>
      <c r="BF619" s="29"/>
      <c r="BG619" s="29"/>
      <c r="BH619" s="12"/>
      <c r="BI619" s="12"/>
      <c r="BJ619" s="12"/>
    </row>
    <row r="620" spans="1:62" x14ac:dyDescent="0.25">
      <c r="A620"/>
      <c r="B620"/>
      <c r="C620"/>
      <c r="D620"/>
      <c r="E620"/>
      <c r="F620" s="16"/>
      <c r="G620" s="16"/>
      <c r="BA620"/>
      <c r="BB620"/>
      <c r="BC620"/>
      <c r="BD620"/>
      <c r="BE620"/>
      <c r="BF620" s="16"/>
      <c r="BG620" s="16"/>
      <c r="BH620" s="12"/>
      <c r="BI620" s="12"/>
      <c r="BJ620" s="12"/>
    </row>
    <row r="621" spans="1:62" x14ac:dyDescent="0.25">
      <c r="A621"/>
      <c r="B621"/>
      <c r="C621"/>
      <c r="D621"/>
      <c r="E621"/>
      <c r="BA621"/>
      <c r="BB621"/>
      <c r="BC621"/>
      <c r="BD621"/>
      <c r="BE621"/>
      <c r="BF621" s="29"/>
      <c r="BG621" s="29"/>
      <c r="BH621" s="12"/>
      <c r="BI621" s="12"/>
      <c r="BJ621" s="12"/>
    </row>
    <row r="622" spans="1:62" x14ac:dyDescent="0.25">
      <c r="A622"/>
      <c r="B622"/>
      <c r="C622"/>
      <c r="D622"/>
      <c r="E622"/>
      <c r="BA622"/>
      <c r="BB622"/>
      <c r="BC622"/>
      <c r="BD622"/>
      <c r="BE622"/>
      <c r="BF622" s="29"/>
      <c r="BG622" s="29"/>
      <c r="BH622" s="12"/>
      <c r="BI622" s="12"/>
      <c r="BJ622" s="12"/>
    </row>
    <row r="623" spans="1:62" x14ac:dyDescent="0.25">
      <c r="A623"/>
      <c r="B623"/>
      <c r="C623"/>
      <c r="D623"/>
      <c r="E623"/>
      <c r="G623" s="16"/>
      <c r="BA623"/>
      <c r="BB623"/>
      <c r="BC623"/>
      <c r="BD623"/>
      <c r="BE623"/>
      <c r="BF623" s="29"/>
      <c r="BG623" s="16"/>
      <c r="BH623" s="12"/>
      <c r="BI623" s="12"/>
      <c r="BJ623" s="12"/>
    </row>
    <row r="624" spans="1:62" x14ac:dyDescent="0.25">
      <c r="A624"/>
      <c r="B624"/>
      <c r="C624"/>
      <c r="D624"/>
      <c r="E624"/>
      <c r="BA624"/>
      <c r="BB624"/>
      <c r="BC624"/>
      <c r="BD624"/>
      <c r="BE624"/>
      <c r="BF624" s="29"/>
      <c r="BG624" s="29"/>
      <c r="BH624" s="12"/>
      <c r="BI624" s="12"/>
      <c r="BJ624" s="12"/>
    </row>
    <row r="625" spans="1:62" x14ac:dyDescent="0.25">
      <c r="A625"/>
      <c r="B625"/>
      <c r="C625"/>
      <c r="D625"/>
      <c r="E625"/>
      <c r="F625" s="16"/>
      <c r="G625" s="16"/>
      <c r="BA625" s="12"/>
      <c r="BB625" s="12"/>
      <c r="BC625" s="12"/>
      <c r="BD625" s="12"/>
      <c r="BE625" s="12"/>
      <c r="BF625" s="16"/>
      <c r="BG625" s="16"/>
      <c r="BH625" s="12"/>
      <c r="BI625" s="12"/>
      <c r="BJ625" s="12"/>
    </row>
    <row r="626" spans="1:62" x14ac:dyDescent="0.25">
      <c r="A626"/>
      <c r="B626"/>
      <c r="C626"/>
      <c r="D626"/>
      <c r="E626"/>
      <c r="BA626" s="12"/>
      <c r="BB626" s="30"/>
      <c r="BC626" s="33"/>
      <c r="BD626" s="33"/>
      <c r="BE626" s="33"/>
      <c r="BF626" s="29"/>
      <c r="BG626" s="29"/>
      <c r="BH626" s="12"/>
      <c r="BI626" s="12"/>
      <c r="BJ626" s="12"/>
    </row>
    <row r="627" spans="1:62" x14ac:dyDescent="0.25">
      <c r="B627" s="12"/>
      <c r="C627" s="12"/>
      <c r="D627" s="12"/>
      <c r="E627" s="12"/>
      <c r="BA627" s="12"/>
      <c r="BB627" s="30"/>
      <c r="BC627" s="33"/>
      <c r="BD627" s="33"/>
      <c r="BE627" s="33"/>
      <c r="BF627" s="29"/>
      <c r="BG627" s="29"/>
      <c r="BH627" s="12"/>
      <c r="BI627" s="12"/>
      <c r="BJ627" s="12"/>
    </row>
    <row r="628" spans="1:62" x14ac:dyDescent="0.25">
      <c r="F628" s="16"/>
      <c r="G628" s="16"/>
      <c r="BA628" s="12"/>
      <c r="BB628" s="30"/>
      <c r="BC628" s="12"/>
      <c r="BD628" s="12"/>
      <c r="BE628" s="12"/>
      <c r="BF628" s="16"/>
      <c r="BG628" s="16"/>
      <c r="BH628" s="12"/>
      <c r="BI628" s="12"/>
      <c r="BJ628" s="12"/>
    </row>
    <row r="629" spans="1:62" x14ac:dyDescent="0.25">
      <c r="BA629" s="12"/>
      <c r="BB629" s="30"/>
      <c r="BC629" s="33"/>
      <c r="BD629" s="33"/>
      <c r="BE629" s="33"/>
      <c r="BF629" s="29"/>
      <c r="BG629" s="29"/>
      <c r="BH629" s="12"/>
      <c r="BI629" s="12"/>
      <c r="BJ629" s="12"/>
    </row>
    <row r="630" spans="1:62" x14ac:dyDescent="0.25">
      <c r="C630" s="12"/>
      <c r="D630" s="12"/>
      <c r="E630" s="12"/>
      <c r="BA630" s="12"/>
      <c r="BB630" s="30"/>
      <c r="BC630" s="33"/>
      <c r="BD630" s="33"/>
      <c r="BE630" s="33"/>
      <c r="BF630" s="29"/>
      <c r="BG630" s="29"/>
      <c r="BH630" s="12"/>
      <c r="BI630" s="12"/>
      <c r="BJ630" s="12"/>
    </row>
    <row r="631" spans="1:62" x14ac:dyDescent="0.25">
      <c r="F631" s="16"/>
      <c r="BA631" s="12"/>
      <c r="BB631" s="12"/>
      <c r="BC631" s="12"/>
      <c r="BD631" s="12"/>
      <c r="BE631" s="12"/>
      <c r="BF631" s="16"/>
      <c r="BG631" s="29"/>
      <c r="BH631" s="12"/>
      <c r="BI631" s="12"/>
      <c r="BJ631" s="12"/>
    </row>
    <row r="632" spans="1:62" x14ac:dyDescent="0.25">
      <c r="BA632" s="12"/>
      <c r="BB632" s="12"/>
      <c r="BC632" s="12"/>
      <c r="BD632" s="12"/>
      <c r="BE632" s="12"/>
      <c r="BF632" s="29"/>
      <c r="BG632" s="29"/>
      <c r="BH632" s="12"/>
      <c r="BI632" s="12"/>
      <c r="BJ632" s="12"/>
    </row>
    <row r="633" spans="1:62" x14ac:dyDescent="0.25">
      <c r="B633" s="12"/>
      <c r="C633" s="12"/>
      <c r="D633" s="12"/>
      <c r="E633" s="12"/>
      <c r="BA633" s="12"/>
      <c r="BB633" s="30"/>
      <c r="BC633" s="33"/>
      <c r="BD633" s="33"/>
      <c r="BE633" s="33"/>
      <c r="BF633" s="29"/>
      <c r="BG633" s="29"/>
      <c r="BH633" s="12"/>
      <c r="BI633" s="12"/>
      <c r="BJ633" s="12"/>
    </row>
    <row r="634" spans="1:62" x14ac:dyDescent="0.25">
      <c r="B634" s="12"/>
      <c r="C634" s="12"/>
      <c r="D634" s="12"/>
      <c r="E634" s="12"/>
      <c r="F634" s="16"/>
      <c r="G634" s="16"/>
      <c r="BA634" s="12"/>
      <c r="BB634" s="30"/>
      <c r="BC634" s="12"/>
      <c r="BD634" s="12"/>
      <c r="BE634" s="12"/>
      <c r="BF634" s="16"/>
      <c r="BG634" s="16"/>
      <c r="BH634" s="12"/>
      <c r="BI634" s="12"/>
      <c r="BJ634" s="12"/>
    </row>
    <row r="635" spans="1:62" x14ac:dyDescent="0.25">
      <c r="F635" s="16"/>
      <c r="G635" s="16"/>
      <c r="BA635" s="12"/>
      <c r="BB635" s="12"/>
      <c r="BC635" s="12"/>
      <c r="BD635" s="12"/>
      <c r="BE635" s="12"/>
      <c r="BF635" s="16"/>
      <c r="BG635" s="16"/>
      <c r="BH635" s="12"/>
      <c r="BI635" s="12"/>
      <c r="BJ635" s="12"/>
    </row>
    <row r="636" spans="1:62" x14ac:dyDescent="0.25">
      <c r="C636" s="12"/>
      <c r="D636" s="12"/>
      <c r="E636" s="12"/>
      <c r="BA636" s="12"/>
      <c r="BB636" s="30"/>
      <c r="BC636" s="12"/>
      <c r="BD636" s="33"/>
      <c r="BE636" s="33"/>
      <c r="BF636" s="29"/>
      <c r="BG636" s="29"/>
      <c r="BH636" s="12"/>
      <c r="BI636" s="12"/>
      <c r="BJ636" s="12"/>
    </row>
    <row r="637" spans="1:62" x14ac:dyDescent="0.25">
      <c r="B637" s="12"/>
      <c r="C637" s="12"/>
      <c r="D637" s="12"/>
      <c r="E637" s="12"/>
      <c r="F637" s="16"/>
      <c r="G637" s="16"/>
      <c r="BA637" s="12"/>
      <c r="BB637" s="30"/>
      <c r="BC637" s="12"/>
      <c r="BD637" s="12"/>
      <c r="BE637" s="12"/>
      <c r="BF637" s="16"/>
      <c r="BG637" s="16"/>
      <c r="BH637" s="12"/>
      <c r="BI637" s="12"/>
      <c r="BJ637" s="12"/>
    </row>
    <row r="638" spans="1:62" x14ac:dyDescent="0.25">
      <c r="C638" s="12"/>
      <c r="F638" s="16"/>
      <c r="G638" s="16"/>
      <c r="BA638" s="12"/>
      <c r="BB638" s="30"/>
      <c r="BC638" s="12"/>
      <c r="BD638" s="12"/>
      <c r="BE638" s="12"/>
      <c r="BF638" s="16"/>
      <c r="BG638" s="16"/>
      <c r="BH638" s="12"/>
      <c r="BI638" s="12"/>
      <c r="BJ638" s="12"/>
    </row>
    <row r="639" spans="1:62" x14ac:dyDescent="0.25">
      <c r="C639" s="12"/>
      <c r="D639" s="12"/>
      <c r="E639" s="12"/>
      <c r="BA639" s="12"/>
      <c r="BB639" s="30"/>
      <c r="BC639" s="33"/>
      <c r="BD639" s="33"/>
      <c r="BE639" s="33"/>
      <c r="BF639" s="29"/>
      <c r="BG639" s="29"/>
      <c r="BH639" s="12"/>
      <c r="BI639" s="12"/>
      <c r="BJ639" s="12"/>
    </row>
    <row r="640" spans="1:62" x14ac:dyDescent="0.25">
      <c r="C640" s="12"/>
      <c r="D640" s="12"/>
      <c r="E640" s="12"/>
      <c r="BA640" s="12"/>
      <c r="BB640" s="30"/>
      <c r="BC640" s="33"/>
      <c r="BD640" s="33"/>
      <c r="BE640" s="33"/>
      <c r="BF640" s="29"/>
      <c r="BG640" s="29"/>
      <c r="BH640" s="12"/>
      <c r="BI640" s="12"/>
      <c r="BJ640" s="12"/>
    </row>
    <row r="641" spans="2:62" x14ac:dyDescent="0.25">
      <c r="BA641" s="12"/>
      <c r="BB641" s="12"/>
      <c r="BC641" s="12"/>
      <c r="BD641" s="12"/>
      <c r="BE641" s="12"/>
      <c r="BF641" s="29"/>
      <c r="BG641" s="29"/>
      <c r="BH641" s="12"/>
      <c r="BI641" s="12"/>
      <c r="BJ641" s="12"/>
    </row>
    <row r="642" spans="2:62" x14ac:dyDescent="0.25">
      <c r="BA642" s="12"/>
      <c r="BB642" s="12"/>
      <c r="BC642" s="12"/>
      <c r="BD642" s="12"/>
      <c r="BE642" s="12"/>
      <c r="BF642" s="29"/>
      <c r="BG642" s="29"/>
      <c r="BH642" s="12"/>
      <c r="BI642" s="12"/>
      <c r="BJ642" s="12"/>
    </row>
    <row r="643" spans="2:62" x14ac:dyDescent="0.25">
      <c r="B643" s="12"/>
      <c r="C643" s="12"/>
      <c r="D643" s="12"/>
      <c r="E643" s="12"/>
      <c r="BA643" s="12"/>
      <c r="BB643" s="30"/>
      <c r="BC643" s="33"/>
      <c r="BD643" s="33"/>
      <c r="BE643" s="33"/>
      <c r="BF643" s="29"/>
      <c r="BG643" s="29"/>
      <c r="BH643" s="12"/>
      <c r="BI643" s="12"/>
      <c r="BJ643" s="12"/>
    </row>
    <row r="644" spans="2:62" x14ac:dyDescent="0.25">
      <c r="B644" s="12"/>
      <c r="C644" s="12"/>
      <c r="D644" s="12"/>
      <c r="E644" s="12"/>
      <c r="BA644" s="12"/>
      <c r="BB644" s="30"/>
      <c r="BC644" s="33"/>
      <c r="BD644" s="33"/>
      <c r="BE644" s="33"/>
      <c r="BF644" s="29"/>
      <c r="BG644" s="29"/>
      <c r="BH644" s="12"/>
      <c r="BI644" s="12"/>
      <c r="BJ644" s="12"/>
    </row>
    <row r="645" spans="2:62" x14ac:dyDescent="0.25">
      <c r="BA645" s="12"/>
      <c r="BB645" s="12"/>
      <c r="BC645" s="12"/>
      <c r="BD645" s="12"/>
      <c r="BE645" s="12"/>
      <c r="BF645" s="29"/>
      <c r="BG645" s="29"/>
      <c r="BH645" s="12"/>
      <c r="BI645" s="12"/>
      <c r="BJ645" s="12"/>
    </row>
    <row r="646" spans="2:62" x14ac:dyDescent="0.25">
      <c r="BA646" s="12"/>
      <c r="BB646" s="30"/>
      <c r="BC646" s="33"/>
      <c r="BD646" s="33"/>
      <c r="BE646" s="33"/>
      <c r="BF646" s="29"/>
      <c r="BG646" s="29"/>
      <c r="BH646" s="12"/>
      <c r="BI646" s="12"/>
      <c r="BJ646" s="12"/>
    </row>
    <row r="647" spans="2:62" x14ac:dyDescent="0.25">
      <c r="B647" s="12"/>
      <c r="C647" s="12"/>
      <c r="D647" s="12"/>
      <c r="E647" s="12"/>
      <c r="BA647" s="12"/>
      <c r="BB647" s="12"/>
      <c r="BC647" s="12"/>
      <c r="BD647" s="12"/>
      <c r="BE647" s="12"/>
      <c r="BF647" s="29"/>
      <c r="BG647" s="29"/>
      <c r="BH647" s="12"/>
      <c r="BI647" s="12"/>
      <c r="BJ647" s="12"/>
    </row>
    <row r="648" spans="2:62" x14ac:dyDescent="0.25">
      <c r="F648" s="16"/>
      <c r="BA648" s="12"/>
      <c r="BB648" s="12"/>
      <c r="BC648" s="12"/>
      <c r="BD648" s="12"/>
      <c r="BE648" s="12"/>
      <c r="BF648" s="16"/>
      <c r="BG648" s="29"/>
      <c r="BH648" s="12"/>
      <c r="BI648" s="12"/>
      <c r="BJ648" s="12"/>
    </row>
    <row r="649" spans="2:62" x14ac:dyDescent="0.25">
      <c r="B649" s="12"/>
      <c r="C649" s="12"/>
      <c r="D649" s="12"/>
      <c r="E649" s="12"/>
      <c r="BA649" s="12"/>
      <c r="BB649" s="12"/>
      <c r="BC649" s="12"/>
      <c r="BD649" s="12"/>
      <c r="BE649" s="12"/>
      <c r="BF649" s="29"/>
      <c r="BG649" s="29"/>
      <c r="BH649" s="12"/>
      <c r="BI649" s="12"/>
      <c r="BJ649" s="12"/>
    </row>
    <row r="650" spans="2:62" x14ac:dyDescent="0.25">
      <c r="B650" s="12"/>
      <c r="C650" s="12"/>
      <c r="D650" s="12"/>
      <c r="E650" s="12"/>
      <c r="BA650" s="12"/>
      <c r="BB650" s="30"/>
      <c r="BC650" s="33"/>
      <c r="BD650" s="33"/>
      <c r="BE650" s="33"/>
      <c r="BF650" s="29"/>
      <c r="BG650" s="29"/>
      <c r="BH650" s="12"/>
      <c r="BI650" s="12"/>
      <c r="BJ650" s="12"/>
    </row>
    <row r="651" spans="2:62" x14ac:dyDescent="0.25">
      <c r="B651" s="12"/>
      <c r="C651" s="12"/>
      <c r="D651" s="12"/>
      <c r="E651" s="12"/>
      <c r="F651" s="16"/>
      <c r="G651" s="16"/>
      <c r="BA651" s="12"/>
      <c r="BB651" s="12"/>
      <c r="BC651" s="12"/>
      <c r="BD651" s="12"/>
      <c r="BE651" s="12"/>
      <c r="BF651" s="16"/>
      <c r="BG651" s="16"/>
      <c r="BH651" s="12"/>
      <c r="BI651" s="12"/>
      <c r="BJ651" s="12"/>
    </row>
    <row r="652" spans="2:62" x14ac:dyDescent="0.25">
      <c r="BA652" s="12"/>
      <c r="BB652" s="30"/>
      <c r="BC652" s="33"/>
      <c r="BD652" s="33"/>
      <c r="BE652" s="33"/>
      <c r="BF652" s="29"/>
      <c r="BG652" s="29"/>
      <c r="BH652" s="12"/>
      <c r="BI652" s="12"/>
      <c r="BJ652" s="12"/>
    </row>
    <row r="653" spans="2:62" x14ac:dyDescent="0.25">
      <c r="B653" s="12"/>
      <c r="C653" s="12"/>
      <c r="D653" s="12"/>
      <c r="E653" s="12"/>
      <c r="BA653" s="12"/>
      <c r="BB653" s="30"/>
      <c r="BC653" s="33"/>
      <c r="BD653" s="33"/>
      <c r="BE653" s="33"/>
      <c r="BF653" s="29"/>
      <c r="BG653" s="29"/>
      <c r="BH653" s="12"/>
      <c r="BI653" s="12"/>
      <c r="BJ653" s="12"/>
    </row>
    <row r="654" spans="2:62" x14ac:dyDescent="0.25">
      <c r="BA654" s="12"/>
      <c r="BB654" s="30"/>
      <c r="BC654" s="33"/>
      <c r="BD654" s="33"/>
      <c r="BE654" s="33"/>
      <c r="BF654" s="29"/>
      <c r="BG654" s="29"/>
      <c r="BH654" s="12"/>
      <c r="BI654" s="12"/>
      <c r="BJ654" s="12"/>
    </row>
    <row r="655" spans="2:62" x14ac:dyDescent="0.25">
      <c r="BA655" s="12"/>
      <c r="BB655" s="30"/>
      <c r="BC655" s="33"/>
      <c r="BD655" s="33"/>
      <c r="BE655" s="33"/>
      <c r="BF655" s="29"/>
      <c r="BG655" s="29"/>
      <c r="BH655" s="12"/>
      <c r="BI655" s="12"/>
      <c r="BJ655" s="12"/>
    </row>
    <row r="656" spans="2:62" x14ac:dyDescent="0.25">
      <c r="BA656" s="12"/>
      <c r="BB656" s="30"/>
      <c r="BC656" s="33"/>
      <c r="BD656" s="33"/>
      <c r="BE656" s="33"/>
      <c r="BF656" s="29"/>
      <c r="BG656" s="29"/>
      <c r="BH656" s="12"/>
      <c r="BI656" s="12"/>
      <c r="BJ656" s="12"/>
    </row>
    <row r="657" spans="2:62" x14ac:dyDescent="0.25">
      <c r="F657" s="16"/>
      <c r="G657" s="16"/>
      <c r="BA657" s="12"/>
      <c r="BB657" s="30"/>
      <c r="BC657" s="12"/>
      <c r="BD657" s="12"/>
      <c r="BE657" s="33"/>
      <c r="BF657" s="16"/>
      <c r="BG657" s="16"/>
      <c r="BH657" s="12"/>
      <c r="BI657" s="12"/>
      <c r="BJ657" s="12"/>
    </row>
    <row r="658" spans="2:62" x14ac:dyDescent="0.25">
      <c r="BA658" s="12"/>
      <c r="BB658" s="30"/>
      <c r="BC658" s="33"/>
      <c r="BD658" s="33"/>
      <c r="BE658" s="33"/>
      <c r="BF658" s="29"/>
      <c r="BG658" s="29"/>
      <c r="BH658" s="12"/>
      <c r="BI658" s="12"/>
      <c r="BJ658" s="12"/>
    </row>
    <row r="659" spans="2:62" x14ac:dyDescent="0.25">
      <c r="C659" s="12"/>
      <c r="D659" s="12"/>
      <c r="BA659" s="12"/>
      <c r="BB659" s="30"/>
      <c r="BC659" s="33"/>
      <c r="BD659" s="33"/>
      <c r="BE659" s="33"/>
      <c r="BF659" s="29"/>
      <c r="BG659" s="29"/>
      <c r="BH659" s="12"/>
      <c r="BI659" s="12"/>
      <c r="BJ659" s="12"/>
    </row>
    <row r="660" spans="2:62" x14ac:dyDescent="0.25">
      <c r="BA660" s="12"/>
      <c r="BB660" s="30"/>
      <c r="BC660" s="33"/>
      <c r="BD660" s="33"/>
      <c r="BE660" s="33"/>
      <c r="BF660" s="29"/>
      <c r="BG660" s="29"/>
      <c r="BH660" s="12"/>
      <c r="BI660" s="12"/>
      <c r="BJ660" s="12"/>
    </row>
    <row r="661" spans="2:62" x14ac:dyDescent="0.25">
      <c r="BA661" s="12"/>
      <c r="BB661" s="12"/>
      <c r="BC661" s="12"/>
      <c r="BD661" s="12"/>
      <c r="BE661" s="12"/>
      <c r="BF661" s="29"/>
      <c r="BG661" s="29"/>
      <c r="BH661" s="12"/>
      <c r="BI661" s="12"/>
      <c r="BJ661" s="12"/>
    </row>
    <row r="662" spans="2:62" x14ac:dyDescent="0.25">
      <c r="BA662" s="12"/>
      <c r="BB662" s="30"/>
      <c r="BC662" s="33"/>
      <c r="BD662" s="33"/>
      <c r="BE662" s="33"/>
      <c r="BF662" s="29"/>
      <c r="BG662" s="29"/>
      <c r="BH662" s="12"/>
      <c r="BI662" s="12"/>
      <c r="BJ662" s="12"/>
    </row>
    <row r="663" spans="2:62" x14ac:dyDescent="0.25">
      <c r="B663" s="12"/>
      <c r="C663" s="12"/>
      <c r="D663" s="12"/>
      <c r="E663" s="12"/>
      <c r="F663" s="16"/>
      <c r="G663" s="16"/>
      <c r="BA663" s="12"/>
      <c r="BB663" s="30"/>
      <c r="BC663" s="12"/>
      <c r="BD663" s="12"/>
      <c r="BE663" s="12"/>
      <c r="BF663" s="16"/>
      <c r="BG663" s="16"/>
      <c r="BH663" s="12"/>
      <c r="BI663" s="12"/>
      <c r="BJ663" s="12"/>
    </row>
    <row r="664" spans="2:62" x14ac:dyDescent="0.25">
      <c r="BA664" s="12"/>
      <c r="BB664" s="30"/>
      <c r="BC664" s="33"/>
      <c r="BD664" s="33"/>
      <c r="BE664" s="33"/>
      <c r="BF664" s="29"/>
      <c r="BG664" s="29"/>
      <c r="BH664" s="12"/>
      <c r="BI664" s="12"/>
      <c r="BJ664" s="12"/>
    </row>
    <row r="665" spans="2:62" x14ac:dyDescent="0.25">
      <c r="C665" s="12"/>
      <c r="D665" s="12"/>
      <c r="E665" s="12"/>
      <c r="BA665" s="12"/>
      <c r="BB665" s="30"/>
      <c r="BC665" s="33"/>
      <c r="BD665" s="33"/>
      <c r="BE665" s="33"/>
      <c r="BF665" s="29"/>
      <c r="BG665" s="29"/>
      <c r="BH665" s="12"/>
      <c r="BI665" s="12"/>
      <c r="BJ665" s="12"/>
    </row>
    <row r="666" spans="2:62" x14ac:dyDescent="0.25">
      <c r="BA666" s="12"/>
      <c r="BB666" s="30"/>
      <c r="BC666" s="33"/>
      <c r="BD666" s="33"/>
      <c r="BE666" s="33"/>
      <c r="BF666" s="29"/>
      <c r="BG666" s="29"/>
      <c r="BH666" s="12"/>
      <c r="BI666" s="12"/>
      <c r="BJ666" s="12"/>
    </row>
    <row r="667" spans="2:62" x14ac:dyDescent="0.25">
      <c r="BA667" s="12"/>
      <c r="BB667" s="12"/>
      <c r="BC667" s="12"/>
      <c r="BD667" s="12"/>
      <c r="BE667" s="12"/>
      <c r="BF667" s="29"/>
      <c r="BG667" s="29"/>
      <c r="BH667" s="12"/>
      <c r="BI667" s="12"/>
      <c r="BJ667" s="12"/>
    </row>
    <row r="668" spans="2:62" x14ac:dyDescent="0.25">
      <c r="BA668" s="12"/>
      <c r="BB668" s="30"/>
      <c r="BC668" s="12"/>
      <c r="BD668" s="12"/>
      <c r="BE668" s="33"/>
      <c r="BF668" s="29"/>
      <c r="BG668" s="29"/>
      <c r="BH668" s="12"/>
      <c r="BI668" s="12"/>
      <c r="BJ668" s="12"/>
    </row>
    <row r="669" spans="2:62" x14ac:dyDescent="0.25">
      <c r="B669" s="12"/>
      <c r="C669" s="12"/>
      <c r="D669" s="12"/>
      <c r="E669" s="12"/>
      <c r="F669" s="16"/>
      <c r="G669" s="16"/>
      <c r="BA669" s="12"/>
      <c r="BB669" s="30"/>
      <c r="BC669" s="12"/>
      <c r="BD669" s="12"/>
      <c r="BE669" s="12"/>
      <c r="BF669" s="16"/>
      <c r="BG669" s="16"/>
      <c r="BH669" s="12"/>
      <c r="BI669" s="12"/>
      <c r="BJ669" s="12"/>
    </row>
    <row r="670" spans="2:62" x14ac:dyDescent="0.25">
      <c r="C670" s="12"/>
      <c r="D670" s="12"/>
      <c r="F670" s="16"/>
      <c r="G670" s="16"/>
      <c r="BA670" s="12"/>
      <c r="BB670" s="30"/>
      <c r="BC670" s="12"/>
      <c r="BD670" s="12"/>
      <c r="BE670" s="12"/>
      <c r="BF670" s="16"/>
      <c r="BG670" s="16"/>
      <c r="BH670" s="12"/>
      <c r="BI670" s="12"/>
      <c r="BJ670" s="12"/>
    </row>
    <row r="671" spans="2:62" x14ac:dyDescent="0.25">
      <c r="C671" s="12"/>
      <c r="D671" s="12"/>
      <c r="E671" s="12"/>
      <c r="BA671" s="12"/>
      <c r="BB671" s="30"/>
      <c r="BC671" s="33"/>
      <c r="BD671" s="33"/>
      <c r="BE671" s="33"/>
      <c r="BF671" s="29"/>
      <c r="BG671" s="29"/>
      <c r="BH671" s="12"/>
      <c r="BI671" s="12"/>
      <c r="BJ671" s="12"/>
    </row>
    <row r="672" spans="2:62" x14ac:dyDescent="0.25">
      <c r="C672" s="12"/>
      <c r="D672" s="12"/>
      <c r="E672" s="12"/>
      <c r="BA672" s="12"/>
      <c r="BB672" s="30"/>
      <c r="BC672" s="33"/>
      <c r="BD672" s="33"/>
      <c r="BE672" s="33"/>
      <c r="BF672" s="29"/>
      <c r="BG672" s="29"/>
      <c r="BH672" s="12"/>
      <c r="BI672" s="12"/>
      <c r="BJ672" s="12"/>
    </row>
    <row r="673" spans="2:62" x14ac:dyDescent="0.25">
      <c r="BA673" s="12"/>
      <c r="BB673" s="30"/>
      <c r="BC673" s="33"/>
      <c r="BD673" s="33"/>
      <c r="BE673" s="33"/>
      <c r="BF673" s="29"/>
      <c r="BG673" s="29"/>
      <c r="BH673" s="12"/>
      <c r="BI673" s="12"/>
      <c r="BJ673" s="12"/>
    </row>
    <row r="674" spans="2:62" x14ac:dyDescent="0.25">
      <c r="F674" s="16"/>
      <c r="G674" s="16"/>
      <c r="BA674" s="12"/>
      <c r="BB674" s="12"/>
      <c r="BC674" s="12"/>
      <c r="BD674" s="12"/>
      <c r="BE674" s="12"/>
      <c r="BF674" s="16"/>
      <c r="BG674" s="16"/>
      <c r="BH674" s="12"/>
      <c r="BI674" s="12"/>
      <c r="BJ674" s="12"/>
    </row>
    <row r="675" spans="2:62" x14ac:dyDescent="0.25">
      <c r="BA675" s="12"/>
      <c r="BB675" s="30"/>
      <c r="BC675" s="33"/>
      <c r="BD675" s="33"/>
      <c r="BE675" s="12"/>
      <c r="BF675" s="29"/>
      <c r="BG675" s="29"/>
      <c r="BH675" s="12"/>
      <c r="BI675" s="12"/>
      <c r="BJ675" s="12"/>
    </row>
    <row r="676" spans="2:62" x14ac:dyDescent="0.25">
      <c r="B676" s="12"/>
      <c r="C676" s="12"/>
      <c r="D676" s="12"/>
      <c r="E676" s="12"/>
      <c r="BA676" s="12"/>
      <c r="BB676" s="30"/>
      <c r="BC676" s="33"/>
      <c r="BD676" s="33"/>
      <c r="BE676" s="33"/>
      <c r="BF676" s="29"/>
      <c r="BG676" s="29"/>
      <c r="BH676" s="12"/>
      <c r="BI676" s="12"/>
      <c r="BJ676" s="12"/>
    </row>
    <row r="677" spans="2:62" x14ac:dyDescent="0.25">
      <c r="E677" s="12"/>
      <c r="F677" s="16"/>
      <c r="G677" s="16"/>
      <c r="BA677" s="12"/>
      <c r="BB677" s="30"/>
      <c r="BC677" s="12"/>
      <c r="BD677" s="12"/>
      <c r="BE677" s="12"/>
      <c r="BF677" s="16"/>
      <c r="BG677" s="16"/>
      <c r="BH677" s="12"/>
      <c r="BI677" s="12"/>
      <c r="BJ677" s="12"/>
    </row>
    <row r="678" spans="2:62" x14ac:dyDescent="0.25">
      <c r="F678" s="16"/>
      <c r="G678" s="16"/>
      <c r="BA678" s="12"/>
      <c r="BB678" s="30"/>
      <c r="BC678" s="12"/>
      <c r="BD678" s="12"/>
      <c r="BE678" s="12"/>
      <c r="BF678" s="16"/>
      <c r="BG678" s="16"/>
      <c r="BH678" s="12"/>
      <c r="BI678" s="12"/>
      <c r="BJ678" s="12"/>
    </row>
    <row r="679" spans="2:62" x14ac:dyDescent="0.25">
      <c r="C679" s="12"/>
      <c r="D679" s="12"/>
      <c r="E679" s="12"/>
      <c r="BA679" s="12"/>
      <c r="BB679" s="30"/>
      <c r="BC679" s="33"/>
      <c r="BD679" s="33"/>
      <c r="BE679" s="33"/>
      <c r="BF679" s="29"/>
      <c r="BG679" s="29"/>
      <c r="BH679" s="12"/>
      <c r="BI679" s="12"/>
      <c r="BJ679" s="12"/>
    </row>
    <row r="680" spans="2:62" x14ac:dyDescent="0.25">
      <c r="C680" s="12"/>
      <c r="D680" s="12"/>
      <c r="E680" s="12"/>
      <c r="BA680" s="12"/>
      <c r="BB680" s="30"/>
      <c r="BC680" s="33"/>
      <c r="BD680" s="33"/>
      <c r="BE680" s="33"/>
      <c r="BF680" s="29"/>
      <c r="BG680" s="29"/>
      <c r="BH680" s="12"/>
      <c r="BI680" s="12"/>
      <c r="BJ680" s="12"/>
    </row>
    <row r="681" spans="2:62" x14ac:dyDescent="0.25">
      <c r="F681" s="16"/>
      <c r="BA681" s="12"/>
      <c r="BB681" s="30"/>
      <c r="BC681" s="12"/>
      <c r="BD681" s="12"/>
      <c r="BE681" s="33"/>
      <c r="BF681" s="16"/>
      <c r="BG681" s="29"/>
      <c r="BH681" s="12"/>
      <c r="BI681" s="12"/>
      <c r="BJ681" s="12"/>
    </row>
    <row r="682" spans="2:62" x14ac:dyDescent="0.25">
      <c r="BA682" s="12"/>
      <c r="BB682" s="30"/>
      <c r="BC682" s="33"/>
      <c r="BD682" s="33"/>
      <c r="BE682" s="33"/>
      <c r="BF682" s="29"/>
      <c r="BG682" s="29"/>
      <c r="BH682" s="12"/>
      <c r="BI682" s="12"/>
      <c r="BJ682" s="12"/>
    </row>
    <row r="683" spans="2:62" x14ac:dyDescent="0.25">
      <c r="C683" s="12"/>
      <c r="D683" s="12"/>
      <c r="BA683" s="12"/>
      <c r="BB683" s="30"/>
      <c r="BC683" s="33"/>
      <c r="BD683" s="33"/>
      <c r="BE683" s="33"/>
      <c r="BF683" s="29"/>
      <c r="BG683" s="29"/>
      <c r="BH683" s="12"/>
      <c r="BI683" s="12"/>
      <c r="BJ683" s="12"/>
    </row>
    <row r="684" spans="2:62" x14ac:dyDescent="0.25">
      <c r="BA684" s="12"/>
      <c r="BB684" s="30"/>
      <c r="BC684" s="33"/>
      <c r="BD684" s="33"/>
      <c r="BE684" s="33"/>
      <c r="BF684" s="29"/>
      <c r="BG684" s="29"/>
      <c r="BH684" s="12"/>
      <c r="BI684" s="12"/>
      <c r="BJ684" s="12"/>
    </row>
    <row r="685" spans="2:62" x14ac:dyDescent="0.25">
      <c r="BA685" s="12"/>
      <c r="BB685" s="30"/>
      <c r="BC685" s="33"/>
      <c r="BD685" s="33"/>
      <c r="BE685" s="33"/>
      <c r="BF685" s="29"/>
      <c r="BG685" s="29"/>
      <c r="BH685" s="12"/>
      <c r="BI685" s="12"/>
      <c r="BJ685" s="12"/>
    </row>
    <row r="686" spans="2:62" x14ac:dyDescent="0.25">
      <c r="BA686" s="12"/>
      <c r="BB686" s="30"/>
      <c r="BC686" s="33"/>
      <c r="BD686" s="33"/>
      <c r="BE686" s="33"/>
      <c r="BF686" s="29"/>
      <c r="BG686" s="29"/>
      <c r="BH686" s="12"/>
      <c r="BI686" s="12"/>
      <c r="BJ686" s="12"/>
    </row>
    <row r="687" spans="2:62" x14ac:dyDescent="0.25">
      <c r="BA687" s="12"/>
      <c r="BB687" s="30"/>
      <c r="BC687" s="33"/>
      <c r="BD687" s="33"/>
      <c r="BE687" s="33"/>
      <c r="BF687" s="29"/>
      <c r="BG687" s="29"/>
      <c r="BH687" s="12"/>
      <c r="BI687" s="12"/>
      <c r="BJ687" s="12"/>
    </row>
    <row r="688" spans="2:62" x14ac:dyDescent="0.25">
      <c r="BA688" s="12"/>
      <c r="BB688" s="12"/>
      <c r="BC688" s="12"/>
      <c r="BD688" s="12"/>
      <c r="BE688" s="12"/>
      <c r="BF688" s="29"/>
      <c r="BG688" s="29"/>
      <c r="BH688" s="12"/>
      <c r="BI688" s="12"/>
      <c r="BJ688" s="12"/>
    </row>
    <row r="689" spans="2:62" x14ac:dyDescent="0.25">
      <c r="BA689" s="12"/>
      <c r="BB689" s="30"/>
      <c r="BC689" s="33"/>
      <c r="BD689" s="33"/>
      <c r="BE689" s="33"/>
      <c r="BF689" s="29"/>
      <c r="BG689" s="29"/>
      <c r="BH689" s="12"/>
      <c r="BI689" s="12"/>
      <c r="BJ689" s="12"/>
    </row>
    <row r="690" spans="2:62" x14ac:dyDescent="0.25">
      <c r="B690" s="12"/>
      <c r="C690" s="12"/>
      <c r="D690" s="12"/>
      <c r="E690" s="12"/>
      <c r="F690" s="16"/>
      <c r="G690" s="16"/>
      <c r="BA690" s="12"/>
      <c r="BB690" s="30"/>
      <c r="BC690" s="12"/>
      <c r="BD690" s="12"/>
      <c r="BE690" s="12"/>
      <c r="BF690" s="16"/>
      <c r="BG690" s="16"/>
      <c r="BH690" s="12"/>
      <c r="BI690" s="12"/>
      <c r="BJ690" s="12"/>
    </row>
    <row r="691" spans="2:62" x14ac:dyDescent="0.25">
      <c r="BA691" s="12"/>
      <c r="BB691" s="30"/>
      <c r="BC691" s="33"/>
      <c r="BD691" s="33"/>
      <c r="BE691" s="33"/>
      <c r="BF691" s="29"/>
      <c r="BG691" s="29"/>
      <c r="BH691" s="12"/>
      <c r="BI691" s="12"/>
      <c r="BJ691" s="12"/>
    </row>
    <row r="692" spans="2:62" x14ac:dyDescent="0.25">
      <c r="C692" s="12"/>
      <c r="D692" s="12"/>
      <c r="E692" s="12"/>
      <c r="BA692" s="12"/>
      <c r="BB692" s="30"/>
      <c r="BC692" s="33"/>
      <c r="BD692" s="33"/>
      <c r="BE692" s="33"/>
      <c r="BF692" s="29"/>
      <c r="BG692" s="29"/>
      <c r="BH692" s="12"/>
      <c r="BI692" s="12"/>
      <c r="BJ692" s="12"/>
    </row>
    <row r="693" spans="2:62" x14ac:dyDescent="0.25">
      <c r="BA693" s="12"/>
      <c r="BB693" s="30"/>
      <c r="BC693" s="33"/>
      <c r="BD693" s="33"/>
      <c r="BE693" s="33"/>
      <c r="BF693" s="29"/>
      <c r="BG693" s="29"/>
      <c r="BH693" s="12"/>
      <c r="BI693" s="12"/>
      <c r="BJ693" s="12"/>
    </row>
    <row r="694" spans="2:62" x14ac:dyDescent="0.25">
      <c r="F694" s="16"/>
      <c r="G694" s="16"/>
      <c r="BA694" s="12"/>
      <c r="BB694" s="30"/>
      <c r="BC694" s="12"/>
      <c r="BD694" s="12"/>
      <c r="BE694" s="12"/>
      <c r="BF694" s="16"/>
      <c r="BG694" s="16"/>
      <c r="BH694" s="12"/>
      <c r="BI694" s="12"/>
      <c r="BJ694" s="12"/>
    </row>
    <row r="695" spans="2:62" x14ac:dyDescent="0.25">
      <c r="BA695" s="12"/>
      <c r="BB695" s="30"/>
      <c r="BC695" s="33"/>
      <c r="BD695" s="33"/>
      <c r="BE695" s="33"/>
      <c r="BF695" s="29"/>
      <c r="BG695" s="29"/>
      <c r="BH695" s="12"/>
      <c r="BI695" s="12"/>
      <c r="BJ695" s="12"/>
    </row>
    <row r="696" spans="2:62" x14ac:dyDescent="0.25">
      <c r="C696" s="12"/>
      <c r="D696" s="12"/>
      <c r="E696" s="12"/>
      <c r="F696" s="16"/>
      <c r="G696" s="16"/>
      <c r="P696" s="28"/>
      <c r="Q696" s="28"/>
      <c r="R696" s="28"/>
      <c r="BA696" s="12"/>
      <c r="BB696" s="30"/>
      <c r="BC696" s="12"/>
      <c r="BD696" s="12"/>
      <c r="BE696" s="12"/>
      <c r="BF696" s="16"/>
      <c r="BG696" s="16"/>
      <c r="BH696" s="12"/>
      <c r="BI696" s="12"/>
      <c r="BJ696" s="12"/>
    </row>
    <row r="697" spans="2:62" x14ac:dyDescent="0.25">
      <c r="F697" s="16"/>
      <c r="G697" s="16"/>
      <c r="BA697" s="12"/>
      <c r="BB697" s="30"/>
      <c r="BC697" s="12"/>
      <c r="BD697" s="12"/>
      <c r="BE697" s="12"/>
      <c r="BF697" s="16"/>
      <c r="BG697" s="16"/>
      <c r="BH697" s="12"/>
      <c r="BI697" s="12"/>
      <c r="BJ697" s="12"/>
    </row>
    <row r="698" spans="2:62" x14ac:dyDescent="0.25">
      <c r="C698" s="12"/>
      <c r="D698" s="12"/>
      <c r="E698" s="12"/>
      <c r="G698" s="16"/>
      <c r="BA698" s="12"/>
      <c r="BB698" s="12"/>
      <c r="BC698" s="34"/>
      <c r="BD698" s="12"/>
      <c r="BE698" s="12"/>
      <c r="BF698" s="29"/>
      <c r="BG698" s="16"/>
      <c r="BH698" s="12"/>
      <c r="BI698" s="12"/>
      <c r="BJ698" s="12"/>
    </row>
    <row r="699" spans="2:62" x14ac:dyDescent="0.25">
      <c r="C699" s="12"/>
      <c r="D699" s="12"/>
      <c r="E699" s="12"/>
      <c r="BA699" s="12"/>
      <c r="BB699" s="30"/>
      <c r="BC699" s="33"/>
      <c r="BD699" s="33"/>
      <c r="BE699" s="33"/>
      <c r="BF699" s="29"/>
      <c r="BG699" s="29"/>
      <c r="BH699" s="12"/>
      <c r="BI699" s="12"/>
      <c r="BJ699" s="12"/>
    </row>
    <row r="700" spans="2:62" x14ac:dyDescent="0.25">
      <c r="B700" s="12"/>
      <c r="C700" s="34"/>
      <c r="D700" s="12"/>
      <c r="E700" s="12"/>
      <c r="F700" s="16"/>
      <c r="BA700" s="12"/>
      <c r="BB700" s="12"/>
      <c r="BC700" s="12"/>
      <c r="BD700" s="12"/>
      <c r="BE700" s="12"/>
      <c r="BF700" s="16"/>
      <c r="BG700" s="29"/>
      <c r="BH700" s="12"/>
      <c r="BI700" s="12"/>
      <c r="BJ700" s="12"/>
    </row>
    <row r="701" spans="2:62" x14ac:dyDescent="0.25">
      <c r="BA701" s="12"/>
      <c r="BB701" s="30"/>
      <c r="BC701" s="33"/>
      <c r="BD701" s="33"/>
      <c r="BE701" s="33"/>
      <c r="BF701" s="29"/>
      <c r="BG701" s="29"/>
      <c r="BH701" s="12"/>
      <c r="BI701" s="12"/>
      <c r="BJ701" s="12"/>
    </row>
    <row r="702" spans="2:62" x14ac:dyDescent="0.25">
      <c r="B702" s="12"/>
      <c r="C702" s="12"/>
      <c r="D702" s="12"/>
      <c r="E702" s="12"/>
      <c r="BA702" s="12"/>
      <c r="BB702" s="30"/>
      <c r="BC702" s="33"/>
      <c r="BD702" s="33"/>
      <c r="BE702" s="33"/>
      <c r="BF702" s="29"/>
      <c r="BG702" s="29"/>
      <c r="BH702" s="12"/>
      <c r="BI702" s="12"/>
      <c r="BJ702" s="12"/>
    </row>
    <row r="703" spans="2:62" x14ac:dyDescent="0.25">
      <c r="BA703" s="12"/>
      <c r="BB703" s="30"/>
      <c r="BC703" s="33"/>
      <c r="BD703" s="33"/>
      <c r="BE703" s="33"/>
      <c r="BF703" s="29"/>
      <c r="BG703" s="29"/>
      <c r="BH703" s="12"/>
      <c r="BI703" s="12"/>
      <c r="BJ703" s="12"/>
    </row>
    <row r="704" spans="2:62" x14ac:dyDescent="0.25">
      <c r="BA704" s="12"/>
      <c r="BB704" s="30"/>
      <c r="BC704" s="33"/>
      <c r="BD704" s="33"/>
      <c r="BE704" s="33"/>
      <c r="BF704" s="29"/>
      <c r="BG704" s="29"/>
      <c r="BH704" s="12"/>
      <c r="BI704" s="12"/>
      <c r="BJ704" s="12"/>
    </row>
    <row r="705" spans="2:62" x14ac:dyDescent="0.25">
      <c r="BA705" s="12"/>
      <c r="BB705" s="30"/>
      <c r="BC705" s="33"/>
      <c r="BD705" s="33"/>
      <c r="BE705" s="33"/>
      <c r="BF705" s="29"/>
      <c r="BG705" s="29"/>
      <c r="BH705" s="12"/>
      <c r="BI705" s="12"/>
      <c r="BJ705" s="12"/>
    </row>
    <row r="706" spans="2:62" x14ac:dyDescent="0.25">
      <c r="BA706" s="12"/>
      <c r="BB706" s="12"/>
      <c r="BC706" s="12"/>
      <c r="BD706" s="12"/>
      <c r="BE706" s="33"/>
      <c r="BF706" s="29"/>
      <c r="BG706" s="29"/>
      <c r="BH706" s="12"/>
      <c r="BI706" s="12"/>
      <c r="BJ706" s="12"/>
    </row>
    <row r="707" spans="2:62" x14ac:dyDescent="0.25">
      <c r="F707" s="16"/>
      <c r="G707" s="16"/>
      <c r="BA707" s="12"/>
      <c r="BB707" s="30"/>
      <c r="BC707" s="12"/>
      <c r="BD707" s="12"/>
      <c r="BE707" s="12"/>
      <c r="BF707" s="16"/>
      <c r="BG707" s="16"/>
      <c r="BH707" s="12"/>
      <c r="BI707" s="12"/>
      <c r="BJ707" s="12"/>
    </row>
    <row r="708" spans="2:62" x14ac:dyDescent="0.25">
      <c r="B708" s="12"/>
      <c r="C708" s="12"/>
      <c r="D708" s="12"/>
      <c r="BA708" s="12"/>
      <c r="BB708" s="30"/>
      <c r="BC708" s="33"/>
      <c r="BD708" s="33"/>
      <c r="BE708" s="33"/>
      <c r="BF708" s="29"/>
      <c r="BG708" s="29"/>
      <c r="BH708" s="12"/>
      <c r="BI708" s="12"/>
      <c r="BJ708" s="12"/>
    </row>
    <row r="709" spans="2:62" x14ac:dyDescent="0.25">
      <c r="C709" s="12"/>
      <c r="D709" s="12"/>
      <c r="E709" s="12"/>
      <c r="BA709" s="12"/>
      <c r="BB709" s="30"/>
      <c r="BC709" s="33"/>
      <c r="BD709" s="33"/>
      <c r="BE709" s="33"/>
      <c r="BF709" s="29"/>
      <c r="BG709" s="29"/>
      <c r="BH709" s="12"/>
      <c r="BI709" s="12"/>
      <c r="BJ709" s="12"/>
    </row>
    <row r="710" spans="2:62" x14ac:dyDescent="0.25">
      <c r="BA710" s="12"/>
      <c r="BB710" s="12"/>
      <c r="BC710" s="12"/>
      <c r="BD710" s="12"/>
      <c r="BE710" s="12"/>
      <c r="BF710" s="29"/>
      <c r="BG710" s="29"/>
      <c r="BH710" s="12"/>
      <c r="BI710" s="12"/>
      <c r="BJ710" s="12"/>
    </row>
    <row r="711" spans="2:62" x14ac:dyDescent="0.25">
      <c r="BA711" s="12"/>
      <c r="BB711" s="30"/>
      <c r="BC711" s="33"/>
      <c r="BD711" s="33"/>
      <c r="BE711" s="33"/>
      <c r="BF711" s="29"/>
      <c r="BG711" s="29"/>
      <c r="BH711" s="12"/>
      <c r="BI711" s="12"/>
      <c r="BJ711" s="12"/>
    </row>
    <row r="712" spans="2:62" x14ac:dyDescent="0.25">
      <c r="B712" s="12"/>
      <c r="C712" s="12"/>
      <c r="D712" s="12"/>
      <c r="E712" s="12"/>
      <c r="BA712" s="12"/>
      <c r="BB712" s="30"/>
      <c r="BC712" s="33"/>
      <c r="BD712" s="33"/>
      <c r="BE712" s="33"/>
      <c r="BF712" s="29"/>
      <c r="BG712" s="29"/>
      <c r="BH712" s="12"/>
      <c r="BI712" s="12"/>
      <c r="BJ712" s="12"/>
    </row>
    <row r="713" spans="2:62" x14ac:dyDescent="0.25">
      <c r="BA713" s="12"/>
      <c r="BB713" s="30"/>
      <c r="BC713" s="33"/>
      <c r="BD713" s="33"/>
      <c r="BE713" s="33"/>
      <c r="BF713" s="29"/>
      <c r="BG713" s="29"/>
      <c r="BH713" s="12"/>
      <c r="BI713" s="12"/>
      <c r="BJ713" s="12"/>
    </row>
    <row r="714" spans="2:62" x14ac:dyDescent="0.25">
      <c r="BA714" s="12"/>
      <c r="BB714" s="30"/>
      <c r="BC714" s="33"/>
      <c r="BD714" s="33"/>
      <c r="BE714" s="33"/>
      <c r="BF714" s="29"/>
      <c r="BG714" s="29"/>
      <c r="BH714" s="12"/>
      <c r="BI714" s="12"/>
      <c r="BJ714" s="12"/>
    </row>
    <row r="715" spans="2:62" x14ac:dyDescent="0.25">
      <c r="BA715" s="12"/>
      <c r="BB715" s="30"/>
      <c r="BC715" s="33"/>
      <c r="BD715" s="33"/>
      <c r="BE715" s="33"/>
      <c r="BF715" s="29"/>
      <c r="BG715" s="29"/>
      <c r="BH715" s="12"/>
      <c r="BI715" s="12"/>
      <c r="BJ715" s="12"/>
    </row>
    <row r="716" spans="2:62" x14ac:dyDescent="0.25">
      <c r="F716" s="16"/>
      <c r="G716" s="16"/>
      <c r="BA716" s="12"/>
      <c r="BB716" s="30"/>
      <c r="BC716" s="12"/>
      <c r="BD716" s="12"/>
      <c r="BE716" s="33"/>
      <c r="BF716" s="16"/>
      <c r="BG716" s="16"/>
      <c r="BH716" s="12"/>
      <c r="BI716" s="12"/>
      <c r="BJ716" s="12"/>
    </row>
    <row r="717" spans="2:62" x14ac:dyDescent="0.25">
      <c r="F717" s="16"/>
      <c r="G717" s="16"/>
      <c r="BA717" s="12"/>
      <c r="BB717" s="30"/>
      <c r="BC717" s="12"/>
      <c r="BD717" s="12"/>
      <c r="BE717" s="12"/>
      <c r="BF717" s="16"/>
      <c r="BG717" s="16"/>
      <c r="BH717" s="12"/>
      <c r="BI717" s="12"/>
      <c r="BJ717" s="12"/>
    </row>
    <row r="718" spans="2:62" x14ac:dyDescent="0.25">
      <c r="C718" s="12"/>
      <c r="D718" s="12"/>
      <c r="BA718" s="12"/>
      <c r="BB718" s="30"/>
      <c r="BC718" s="33"/>
      <c r="BD718" s="33"/>
      <c r="BE718" s="33"/>
      <c r="BF718" s="29"/>
      <c r="BG718" s="29"/>
      <c r="BH718" s="12"/>
      <c r="BI718" s="12"/>
      <c r="BJ718" s="12"/>
    </row>
    <row r="719" spans="2:62" x14ac:dyDescent="0.25">
      <c r="C719" s="12"/>
      <c r="D719" s="12"/>
      <c r="E719" s="12"/>
      <c r="BA719" s="12"/>
      <c r="BB719" s="30"/>
      <c r="BC719" s="33"/>
      <c r="BD719" s="33"/>
      <c r="BE719" s="33"/>
      <c r="BF719" s="29"/>
      <c r="BG719" s="29"/>
      <c r="BH719" s="12"/>
      <c r="BI719" s="12"/>
      <c r="BJ719" s="12"/>
    </row>
    <row r="720" spans="2:62" x14ac:dyDescent="0.25">
      <c r="BA720" s="12"/>
      <c r="BB720" s="12"/>
      <c r="BC720" s="34"/>
      <c r="BD720" s="12"/>
      <c r="BE720" s="12"/>
      <c r="BF720" s="29"/>
      <c r="BG720" s="29"/>
      <c r="BH720" s="12"/>
      <c r="BI720" s="12"/>
      <c r="BJ720" s="12"/>
    </row>
    <row r="721" spans="2:62" x14ac:dyDescent="0.25">
      <c r="BA721" s="12"/>
      <c r="BB721" s="30"/>
      <c r="BC721" s="33"/>
      <c r="BD721" s="33"/>
      <c r="BE721" s="33"/>
      <c r="BF721" s="29"/>
      <c r="BG721" s="29"/>
      <c r="BH721" s="12"/>
      <c r="BI721" s="12"/>
      <c r="BJ721" s="12"/>
    </row>
    <row r="722" spans="2:62" x14ac:dyDescent="0.25">
      <c r="B722" s="12"/>
      <c r="C722" s="34"/>
      <c r="D722" s="12"/>
      <c r="E722" s="12"/>
      <c r="F722" s="16"/>
      <c r="G722" s="16"/>
      <c r="BA722" s="12"/>
      <c r="BB722" s="12"/>
      <c r="BC722" s="12"/>
      <c r="BD722" s="12"/>
      <c r="BE722" s="12"/>
      <c r="BF722" s="16"/>
      <c r="BG722" s="16"/>
      <c r="BH722" s="12"/>
      <c r="BI722" s="12"/>
      <c r="BJ722" s="12"/>
    </row>
    <row r="723" spans="2:62" x14ac:dyDescent="0.25">
      <c r="BA723" s="12"/>
      <c r="BB723" s="30"/>
      <c r="BC723" s="33"/>
      <c r="BD723" s="33"/>
      <c r="BE723" s="33"/>
      <c r="BF723" s="29"/>
      <c r="BG723" s="29"/>
      <c r="BH723" s="12"/>
      <c r="BI723" s="12"/>
      <c r="BJ723" s="12"/>
    </row>
    <row r="724" spans="2:62" x14ac:dyDescent="0.25">
      <c r="B724" s="12"/>
      <c r="C724" s="12"/>
      <c r="D724" s="12"/>
      <c r="E724" s="12"/>
      <c r="BA724" s="12"/>
      <c r="BB724" s="30"/>
      <c r="BC724" s="33"/>
      <c r="BD724" s="33"/>
      <c r="BE724" s="33"/>
      <c r="BF724" s="29"/>
      <c r="BG724" s="29"/>
      <c r="BH724" s="12"/>
      <c r="BI724" s="12"/>
      <c r="BJ724" s="12"/>
    </row>
    <row r="725" spans="2:62" x14ac:dyDescent="0.25">
      <c r="BA725" s="12"/>
      <c r="BB725" s="30"/>
      <c r="BC725" s="33"/>
      <c r="BD725" s="33"/>
      <c r="BE725" s="33"/>
      <c r="BF725" s="29"/>
      <c r="BG725" s="29"/>
      <c r="BH725" s="12"/>
      <c r="BI725" s="12"/>
      <c r="BJ725" s="12"/>
    </row>
    <row r="726" spans="2:62" x14ac:dyDescent="0.25">
      <c r="F726" s="16"/>
      <c r="G726" s="16"/>
      <c r="BA726" s="12"/>
      <c r="BB726" s="12"/>
      <c r="BC726" s="12"/>
      <c r="BD726" s="12"/>
      <c r="BE726" s="12"/>
      <c r="BF726" s="16"/>
      <c r="BG726" s="16"/>
      <c r="BH726" s="12"/>
      <c r="BI726" s="12"/>
      <c r="BJ726" s="12"/>
    </row>
    <row r="727" spans="2:62" x14ac:dyDescent="0.25">
      <c r="F727" s="16"/>
      <c r="G727" s="16"/>
      <c r="BA727" s="12"/>
      <c r="BB727" s="12"/>
      <c r="BC727" s="12"/>
      <c r="BD727" s="12"/>
      <c r="BE727" s="12"/>
      <c r="BF727" s="16"/>
      <c r="BG727" s="16"/>
      <c r="BH727" s="12"/>
      <c r="BI727" s="12"/>
      <c r="BJ727" s="12"/>
    </row>
    <row r="728" spans="2:62" x14ac:dyDescent="0.25">
      <c r="B728" s="12"/>
      <c r="C728" s="12"/>
      <c r="D728" s="12"/>
      <c r="E728" s="12"/>
      <c r="BA728" s="12"/>
      <c r="BB728" s="30"/>
      <c r="BC728" s="33"/>
      <c r="BD728" s="33"/>
      <c r="BE728" s="33"/>
      <c r="BF728" s="29"/>
      <c r="BG728" s="29"/>
      <c r="BH728" s="12"/>
      <c r="BI728" s="12"/>
      <c r="BJ728" s="12"/>
    </row>
    <row r="729" spans="2:62" x14ac:dyDescent="0.25">
      <c r="B729" s="12"/>
      <c r="C729" s="12"/>
      <c r="D729" s="12"/>
      <c r="E729" s="12"/>
      <c r="BA729" s="12"/>
      <c r="BB729" s="30"/>
      <c r="BC729" s="33"/>
      <c r="BD729" s="33"/>
      <c r="BE729" s="33"/>
      <c r="BF729" s="29"/>
      <c r="BG729" s="29"/>
      <c r="BH729" s="12"/>
      <c r="BI729" s="12"/>
      <c r="BJ729" s="12"/>
    </row>
    <row r="730" spans="2:62" x14ac:dyDescent="0.25">
      <c r="BA730" s="12"/>
      <c r="BB730" s="30"/>
      <c r="BC730" s="33"/>
      <c r="BD730" s="33"/>
      <c r="BE730" s="33"/>
      <c r="BF730" s="29"/>
      <c r="BG730" s="29"/>
      <c r="BH730" s="12"/>
      <c r="BI730" s="12"/>
      <c r="BJ730" s="12"/>
    </row>
    <row r="731" spans="2:62" x14ac:dyDescent="0.25">
      <c r="BA731" s="12"/>
      <c r="BB731" s="30"/>
      <c r="BC731" s="33"/>
      <c r="BD731" s="33"/>
      <c r="BE731" s="33"/>
      <c r="BF731" s="29"/>
      <c r="BG731" s="29"/>
      <c r="BH731" s="12"/>
      <c r="BI731" s="12"/>
      <c r="BJ731" s="12"/>
    </row>
    <row r="732" spans="2:62" x14ac:dyDescent="0.25">
      <c r="BA732" s="12"/>
      <c r="BB732" s="30"/>
      <c r="BC732" s="33"/>
      <c r="BD732" s="33"/>
      <c r="BE732" s="33"/>
      <c r="BF732" s="29"/>
      <c r="BG732" s="29"/>
      <c r="BH732" s="12"/>
      <c r="BI732" s="12"/>
      <c r="BJ732" s="12"/>
    </row>
    <row r="733" spans="2:62" x14ac:dyDescent="0.25">
      <c r="F733" s="16"/>
      <c r="BA733" s="12"/>
      <c r="BB733" s="12"/>
      <c r="BC733" s="12"/>
      <c r="BD733" s="12"/>
      <c r="BE733" s="12"/>
      <c r="BF733" s="16"/>
      <c r="BG733" s="29"/>
      <c r="BH733" s="12"/>
      <c r="BI733" s="12"/>
      <c r="BJ733" s="12"/>
    </row>
    <row r="734" spans="2:62" x14ac:dyDescent="0.25">
      <c r="BA734" s="12"/>
      <c r="BB734" s="30"/>
      <c r="BC734" s="33"/>
      <c r="BD734" s="33"/>
      <c r="BE734" s="33"/>
      <c r="BF734" s="29"/>
      <c r="BG734" s="29"/>
      <c r="BH734" s="12"/>
      <c r="BI734" s="12"/>
      <c r="BJ734" s="12"/>
    </row>
    <row r="735" spans="2:62" x14ac:dyDescent="0.25">
      <c r="B735" s="12"/>
      <c r="C735" s="12"/>
      <c r="D735" s="12"/>
      <c r="E735" s="12"/>
      <c r="F735" s="16"/>
      <c r="G735" s="16"/>
      <c r="BA735" s="12"/>
      <c r="BB735" s="30"/>
      <c r="BC735" s="12"/>
      <c r="BD735" s="12"/>
      <c r="BE735" s="12"/>
      <c r="BF735" s="16"/>
      <c r="BG735" s="16"/>
      <c r="BH735" s="12"/>
      <c r="BI735" s="12"/>
      <c r="BJ735" s="12"/>
    </row>
    <row r="736" spans="2:62" x14ac:dyDescent="0.25">
      <c r="BA736" s="12"/>
      <c r="BB736" s="30"/>
      <c r="BC736" s="33"/>
      <c r="BD736" s="33"/>
      <c r="BE736" s="33"/>
      <c r="BF736" s="29"/>
      <c r="BG736" s="29"/>
      <c r="BH736" s="12"/>
      <c r="BI736" s="12"/>
      <c r="BJ736" s="12"/>
    </row>
    <row r="737" spans="2:62" x14ac:dyDescent="0.25">
      <c r="C737" s="12"/>
      <c r="D737" s="12"/>
      <c r="E737" s="12"/>
      <c r="BA737" s="12"/>
      <c r="BB737" s="30"/>
      <c r="BC737" s="33"/>
      <c r="BD737" s="33"/>
      <c r="BE737" s="33"/>
      <c r="BF737" s="29"/>
      <c r="BG737" s="29"/>
      <c r="BH737" s="12"/>
      <c r="BI737" s="12"/>
      <c r="BJ737" s="12"/>
    </row>
    <row r="738" spans="2:62" x14ac:dyDescent="0.25">
      <c r="F738" s="16"/>
      <c r="G738" s="16"/>
      <c r="BA738" s="12"/>
      <c r="BB738" s="30"/>
      <c r="BC738" s="12"/>
      <c r="BD738" s="12"/>
      <c r="BE738" s="12"/>
      <c r="BF738" s="16"/>
      <c r="BG738" s="16"/>
      <c r="BH738" s="12"/>
      <c r="BI738" s="12"/>
      <c r="BJ738" s="12"/>
    </row>
    <row r="739" spans="2:62" x14ac:dyDescent="0.25">
      <c r="BA739" s="12"/>
      <c r="BB739" s="30"/>
      <c r="BC739" s="33"/>
      <c r="BD739" s="33"/>
      <c r="BE739" s="33"/>
      <c r="BF739" s="29"/>
      <c r="BG739" s="29"/>
      <c r="BH739" s="12"/>
      <c r="BI739" s="12"/>
      <c r="BJ739" s="12"/>
    </row>
    <row r="740" spans="2:62" x14ac:dyDescent="0.25">
      <c r="C740" s="12"/>
      <c r="D740" s="12"/>
      <c r="E740" s="12"/>
      <c r="BA740" s="12"/>
      <c r="BB740" s="30"/>
      <c r="BC740" s="33"/>
      <c r="BD740" s="33"/>
      <c r="BE740" s="33"/>
      <c r="BF740" s="29"/>
      <c r="BG740" s="29"/>
      <c r="BH740" s="12"/>
      <c r="BI740" s="12"/>
      <c r="BJ740" s="12"/>
    </row>
    <row r="741" spans="2:62" x14ac:dyDescent="0.25">
      <c r="F741" s="16"/>
      <c r="G741" s="16"/>
      <c r="BA741" s="12"/>
      <c r="BB741" s="30"/>
      <c r="BC741" s="12"/>
      <c r="BD741" s="12"/>
      <c r="BE741" s="12"/>
      <c r="BF741" s="16"/>
      <c r="BG741" s="16"/>
      <c r="BH741" s="12"/>
      <c r="BI741" s="12"/>
      <c r="BJ741" s="12"/>
    </row>
    <row r="742" spans="2:62" x14ac:dyDescent="0.25">
      <c r="F742" s="16"/>
      <c r="G742" s="16"/>
      <c r="BA742" s="12"/>
      <c r="BB742" s="30"/>
      <c r="BC742" s="12"/>
      <c r="BD742" s="12"/>
      <c r="BE742" s="12"/>
      <c r="BF742" s="16"/>
      <c r="BG742" s="16"/>
      <c r="BH742" s="12"/>
      <c r="BI742" s="12"/>
      <c r="BJ742" s="12"/>
    </row>
    <row r="743" spans="2:62" x14ac:dyDescent="0.25">
      <c r="C743" s="12"/>
      <c r="D743" s="12"/>
      <c r="E743" s="12"/>
      <c r="BA743" s="12"/>
      <c r="BB743" s="30"/>
      <c r="BC743" s="33"/>
      <c r="BD743" s="33"/>
      <c r="BE743" s="33"/>
      <c r="BF743" s="29"/>
      <c r="BG743" s="29"/>
      <c r="BH743" s="12"/>
      <c r="BI743" s="12"/>
      <c r="BJ743" s="12"/>
    </row>
    <row r="744" spans="2:62" x14ac:dyDescent="0.25">
      <c r="C744" s="12"/>
      <c r="D744" s="12"/>
      <c r="E744" s="12"/>
      <c r="BA744" s="12"/>
      <c r="BB744" s="30"/>
      <c r="BC744" s="33"/>
      <c r="BD744" s="33"/>
      <c r="BE744" s="33"/>
      <c r="BF744" s="29"/>
      <c r="BG744" s="29"/>
      <c r="BH744" s="12"/>
      <c r="BI744" s="12"/>
      <c r="BJ744" s="12"/>
    </row>
    <row r="745" spans="2:62" x14ac:dyDescent="0.25">
      <c r="BA745" s="12"/>
      <c r="BB745" s="30"/>
      <c r="BC745" s="33"/>
      <c r="BD745" s="33"/>
      <c r="BE745" s="33"/>
      <c r="BF745" s="29"/>
      <c r="BG745" s="29"/>
      <c r="BH745" s="12"/>
      <c r="BI745" s="12"/>
      <c r="BJ745" s="12"/>
    </row>
    <row r="746" spans="2:62" x14ac:dyDescent="0.25">
      <c r="BA746" s="12"/>
      <c r="BB746" s="12"/>
      <c r="BC746" s="12"/>
      <c r="BD746" s="12"/>
      <c r="BE746" s="12"/>
      <c r="BF746" s="29"/>
      <c r="BG746" s="29"/>
      <c r="BH746" s="12"/>
      <c r="BI746" s="12"/>
      <c r="BJ746" s="12"/>
    </row>
    <row r="747" spans="2:62" x14ac:dyDescent="0.25">
      <c r="BA747" s="12"/>
      <c r="BB747" s="30"/>
      <c r="BC747" s="33"/>
      <c r="BD747" s="33"/>
      <c r="BE747" s="33"/>
      <c r="BF747" s="29"/>
      <c r="BG747" s="29"/>
      <c r="BH747" s="12"/>
      <c r="BI747" s="12"/>
      <c r="BJ747" s="12"/>
    </row>
    <row r="748" spans="2:62" x14ac:dyDescent="0.25">
      <c r="B748" s="12"/>
      <c r="C748" s="12"/>
      <c r="D748" s="12"/>
      <c r="E748" s="12"/>
      <c r="BA748" s="12"/>
      <c r="BB748" s="30"/>
      <c r="BC748" s="33"/>
      <c r="BD748" s="33"/>
      <c r="BE748" s="33"/>
      <c r="BF748" s="29"/>
      <c r="BG748" s="29"/>
      <c r="BH748" s="12"/>
      <c r="BI748" s="12"/>
      <c r="BJ748" s="12"/>
    </row>
    <row r="749" spans="2:62" x14ac:dyDescent="0.25">
      <c r="BA749" s="12"/>
      <c r="BB749" s="12"/>
      <c r="BC749" s="12"/>
      <c r="BD749" s="12"/>
      <c r="BE749" s="12"/>
      <c r="BF749" s="29"/>
      <c r="BG749" s="29"/>
      <c r="BH749" s="12"/>
      <c r="BI749" s="12"/>
      <c r="BJ749" s="12"/>
    </row>
    <row r="750" spans="2:62" x14ac:dyDescent="0.25">
      <c r="F750" s="16"/>
      <c r="G750" s="16"/>
      <c r="BA750" s="12"/>
      <c r="BB750" s="12"/>
      <c r="BC750" s="12"/>
      <c r="BD750" s="12"/>
      <c r="BE750" s="12"/>
      <c r="BF750" s="16"/>
      <c r="BG750" s="16"/>
      <c r="BH750" s="12"/>
      <c r="BI750" s="12"/>
      <c r="BJ750" s="12"/>
    </row>
    <row r="751" spans="2:62" x14ac:dyDescent="0.25">
      <c r="B751" s="12"/>
      <c r="C751" s="12"/>
      <c r="D751" s="12"/>
      <c r="E751" s="12"/>
      <c r="BA751" s="12"/>
      <c r="BB751" s="30"/>
      <c r="BC751" s="33"/>
      <c r="BD751" s="33"/>
      <c r="BE751" s="33"/>
      <c r="BF751" s="29"/>
      <c r="BG751" s="29"/>
      <c r="BH751" s="12"/>
      <c r="BI751" s="12"/>
      <c r="BJ751" s="12"/>
    </row>
    <row r="752" spans="2:62" x14ac:dyDescent="0.25">
      <c r="B752" s="12"/>
      <c r="C752" s="12"/>
      <c r="D752" s="12"/>
      <c r="E752" s="12"/>
      <c r="BA752" s="12"/>
      <c r="BB752" s="30"/>
      <c r="BC752" s="33"/>
      <c r="BD752" s="33"/>
      <c r="BE752" s="33"/>
      <c r="BF752" s="29"/>
      <c r="BG752" s="29"/>
      <c r="BH752" s="12"/>
      <c r="BI752" s="12"/>
      <c r="BJ752" s="12"/>
    </row>
    <row r="753" spans="2:62" x14ac:dyDescent="0.25">
      <c r="BA753" s="12"/>
      <c r="BB753" s="30"/>
      <c r="BC753" s="33"/>
      <c r="BD753" s="33"/>
      <c r="BE753" s="33"/>
      <c r="BF753" s="29"/>
      <c r="BG753" s="29"/>
      <c r="BH753" s="12"/>
      <c r="BI753" s="12"/>
      <c r="BJ753" s="12"/>
    </row>
    <row r="754" spans="2:62" x14ac:dyDescent="0.25">
      <c r="BA754" s="12"/>
      <c r="BB754" s="30"/>
      <c r="BC754" s="33"/>
      <c r="BD754" s="33"/>
      <c r="BE754" s="33"/>
      <c r="BF754" s="29"/>
      <c r="BG754" s="29"/>
      <c r="BH754" s="12"/>
      <c r="BI754" s="12"/>
      <c r="BJ754" s="12"/>
    </row>
    <row r="755" spans="2:62" x14ac:dyDescent="0.25">
      <c r="F755" s="16"/>
      <c r="G755" s="16"/>
      <c r="BA755" s="12"/>
      <c r="BB755" s="30"/>
      <c r="BC755" s="12"/>
      <c r="BD755" s="12"/>
      <c r="BE755" s="12"/>
      <c r="BF755" s="16"/>
      <c r="BG755" s="16"/>
      <c r="BH755" s="12"/>
      <c r="BI755" s="12"/>
      <c r="BJ755" s="12"/>
    </row>
    <row r="756" spans="2:62" x14ac:dyDescent="0.25">
      <c r="F756" s="16"/>
      <c r="G756" s="16"/>
      <c r="BA756" s="12"/>
      <c r="BB756" s="12"/>
      <c r="BC756" s="12"/>
      <c r="BD756" s="12"/>
      <c r="BE756" s="12"/>
      <c r="BF756" s="16"/>
      <c r="BG756" s="16"/>
      <c r="BH756" s="12"/>
      <c r="BI756" s="12"/>
      <c r="BJ756" s="12"/>
    </row>
    <row r="757" spans="2:62" x14ac:dyDescent="0.25">
      <c r="C757" s="12"/>
      <c r="D757" s="12"/>
      <c r="E757" s="12"/>
      <c r="BA757" s="12"/>
      <c r="BB757" s="30"/>
      <c r="BC757" s="33"/>
      <c r="BD757" s="33"/>
      <c r="BE757" s="33"/>
      <c r="BF757" s="29"/>
      <c r="BG757" s="29"/>
      <c r="BH757" s="12"/>
      <c r="BI757" s="12"/>
      <c r="BJ757" s="12"/>
    </row>
    <row r="758" spans="2:62" x14ac:dyDescent="0.25">
      <c r="B758" s="12"/>
      <c r="C758" s="12"/>
      <c r="D758" s="12"/>
      <c r="E758" s="12"/>
      <c r="BA758" s="12"/>
      <c r="BB758" s="30"/>
      <c r="BC758" s="33"/>
      <c r="BD758" s="33"/>
      <c r="BE758" s="33"/>
      <c r="BF758" s="29"/>
      <c r="BG758" s="29"/>
      <c r="BH758" s="12"/>
      <c r="BI758" s="12"/>
      <c r="BJ758" s="12"/>
    </row>
    <row r="759" spans="2:62" x14ac:dyDescent="0.25">
      <c r="BA759" s="12"/>
      <c r="BB759" s="30"/>
      <c r="BC759" s="33"/>
      <c r="BD759" s="33"/>
      <c r="BE759" s="33"/>
      <c r="BF759" s="29"/>
      <c r="BG759" s="29"/>
      <c r="BH759" s="12"/>
      <c r="BI759" s="12"/>
      <c r="BJ759" s="12"/>
    </row>
    <row r="760" spans="2:62" x14ac:dyDescent="0.25">
      <c r="BA760" s="12"/>
      <c r="BB760" s="30"/>
      <c r="BC760" s="33"/>
      <c r="BD760" s="33"/>
      <c r="BE760" s="33"/>
      <c r="BF760" s="29"/>
      <c r="BG760" s="29"/>
      <c r="BH760" s="12"/>
      <c r="BI760" s="12"/>
      <c r="BJ760" s="12"/>
    </row>
    <row r="761" spans="2:62" x14ac:dyDescent="0.25">
      <c r="BA761" s="12"/>
      <c r="BB761" s="12"/>
      <c r="BC761" s="12"/>
      <c r="BD761" s="12"/>
      <c r="BE761" s="33"/>
      <c r="BF761" s="29"/>
      <c r="BG761" s="29"/>
      <c r="BH761" s="12"/>
      <c r="BI761" s="12"/>
      <c r="BJ761" s="12"/>
    </row>
    <row r="762" spans="2:62" x14ac:dyDescent="0.25">
      <c r="BA762" s="12"/>
      <c r="BB762" s="30"/>
      <c r="BC762" s="33"/>
      <c r="BD762" s="33"/>
      <c r="BE762" s="33"/>
      <c r="BF762" s="29"/>
      <c r="BG762" s="29"/>
      <c r="BH762" s="12"/>
      <c r="BI762" s="12"/>
      <c r="BJ762" s="12"/>
    </row>
    <row r="763" spans="2:62" x14ac:dyDescent="0.25">
      <c r="B763" s="12"/>
      <c r="C763" s="12"/>
      <c r="D763" s="12"/>
      <c r="BA763" s="12"/>
      <c r="BB763" s="30"/>
      <c r="BC763" s="33"/>
      <c r="BD763" s="33"/>
      <c r="BE763" s="33"/>
      <c r="BF763" s="29"/>
      <c r="BG763" s="29"/>
      <c r="BH763" s="12"/>
      <c r="BI763" s="12"/>
      <c r="BJ763" s="12"/>
    </row>
    <row r="764" spans="2:62" x14ac:dyDescent="0.25">
      <c r="F764" s="16"/>
      <c r="G764" s="16"/>
      <c r="BA764" s="12"/>
      <c r="BB764" s="30"/>
      <c r="BC764" s="12"/>
      <c r="BD764" s="12"/>
      <c r="BE764" s="12"/>
      <c r="BF764" s="16"/>
      <c r="BG764" s="16"/>
      <c r="BH764" s="12"/>
      <c r="BI764" s="12"/>
      <c r="BJ764" s="12"/>
    </row>
    <row r="765" spans="2:62" x14ac:dyDescent="0.25">
      <c r="F765" s="16"/>
      <c r="G765" s="16"/>
      <c r="BA765" s="12"/>
      <c r="BB765" s="30"/>
      <c r="BC765" s="12"/>
      <c r="BD765" s="12"/>
      <c r="BE765" s="12"/>
      <c r="BF765" s="16"/>
      <c r="BG765" s="16"/>
      <c r="BH765" s="12"/>
      <c r="BI765" s="12"/>
      <c r="BJ765" s="12"/>
    </row>
    <row r="766" spans="2:62" x14ac:dyDescent="0.25">
      <c r="C766" s="12"/>
      <c r="D766" s="12"/>
      <c r="E766" s="12"/>
      <c r="BA766" s="12"/>
      <c r="BB766" s="30"/>
      <c r="BC766" s="33"/>
      <c r="BD766" s="33"/>
      <c r="BE766" s="33"/>
      <c r="BF766" s="29"/>
      <c r="BG766" s="29"/>
      <c r="BH766" s="12"/>
      <c r="BI766" s="12"/>
      <c r="BJ766" s="12"/>
    </row>
    <row r="767" spans="2:62" x14ac:dyDescent="0.25">
      <c r="C767" s="12"/>
      <c r="D767" s="12"/>
      <c r="E767" s="12"/>
      <c r="BA767" s="12"/>
      <c r="BB767" s="30"/>
      <c r="BC767" s="33"/>
      <c r="BD767" s="33"/>
      <c r="BE767" s="33"/>
      <c r="BF767" s="29"/>
      <c r="BG767" s="29"/>
      <c r="BH767" s="12"/>
      <c r="BI767" s="12"/>
      <c r="BJ767" s="12"/>
    </row>
    <row r="768" spans="2:62" x14ac:dyDescent="0.25">
      <c r="F768" s="16"/>
      <c r="G768" s="16"/>
      <c r="BA768" s="12"/>
      <c r="BB768" s="30"/>
      <c r="BC768" s="12"/>
      <c r="BD768" s="12"/>
      <c r="BE768" s="12"/>
      <c r="BF768" s="16"/>
      <c r="BG768" s="16"/>
      <c r="BH768" s="12"/>
      <c r="BI768" s="12"/>
      <c r="BJ768" s="12"/>
    </row>
    <row r="769" spans="2:62" x14ac:dyDescent="0.25">
      <c r="F769" s="16"/>
      <c r="G769" s="16"/>
      <c r="BA769" s="12"/>
      <c r="BB769" s="30"/>
      <c r="BC769" s="12"/>
      <c r="BD769" s="12"/>
      <c r="BE769" s="12"/>
      <c r="BF769" s="16"/>
      <c r="BG769" s="16"/>
      <c r="BH769" s="12"/>
      <c r="BI769" s="12"/>
      <c r="BJ769" s="12"/>
    </row>
    <row r="770" spans="2:62" x14ac:dyDescent="0.25">
      <c r="C770" s="12"/>
      <c r="D770" s="12"/>
      <c r="E770" s="12"/>
      <c r="BA770" s="12"/>
      <c r="BB770" s="30"/>
      <c r="BC770" s="33"/>
      <c r="BD770" s="33"/>
      <c r="BE770" s="33"/>
      <c r="BF770" s="29"/>
      <c r="BG770" s="29"/>
      <c r="BH770" s="12"/>
      <c r="BI770" s="12"/>
      <c r="BJ770" s="12"/>
    </row>
    <row r="771" spans="2:62" x14ac:dyDescent="0.25">
      <c r="C771" s="12"/>
      <c r="D771" s="12"/>
      <c r="E771" s="12"/>
      <c r="BA771" s="12"/>
      <c r="BB771" s="30"/>
      <c r="BC771" s="33"/>
      <c r="BD771" s="33"/>
      <c r="BE771" s="33"/>
      <c r="BF771" s="29"/>
      <c r="BG771" s="29"/>
      <c r="BH771" s="12"/>
      <c r="BI771" s="12"/>
      <c r="BJ771" s="12"/>
    </row>
    <row r="772" spans="2:62" x14ac:dyDescent="0.25">
      <c r="BA772" s="12"/>
      <c r="BB772" s="12"/>
      <c r="BC772" s="12"/>
      <c r="BD772" s="12"/>
      <c r="BE772" s="33"/>
      <c r="BF772" s="29"/>
      <c r="BG772" s="29"/>
      <c r="BH772" s="12"/>
      <c r="BI772" s="12"/>
      <c r="BJ772" s="12"/>
    </row>
    <row r="773" spans="2:62" x14ac:dyDescent="0.25">
      <c r="BA773" s="12"/>
      <c r="BB773" s="30"/>
      <c r="BC773" s="33"/>
      <c r="BD773" s="33"/>
      <c r="BE773" s="33"/>
      <c r="BF773" s="29"/>
      <c r="BG773" s="29"/>
      <c r="BH773" s="12"/>
      <c r="BI773" s="12"/>
      <c r="BJ773" s="12"/>
    </row>
    <row r="774" spans="2:62" x14ac:dyDescent="0.25">
      <c r="B774" s="12"/>
      <c r="C774" s="12"/>
      <c r="D774" s="12"/>
      <c r="BA774" s="12"/>
      <c r="BB774" s="12"/>
      <c r="BC774" s="33"/>
      <c r="BD774" s="33"/>
      <c r="BE774" s="33"/>
      <c r="BF774" s="29"/>
      <c r="BG774" s="29"/>
      <c r="BH774" s="12"/>
      <c r="BI774" s="12"/>
      <c r="BJ774" s="12"/>
    </row>
    <row r="775" spans="2:62" x14ac:dyDescent="0.25">
      <c r="BA775" s="12"/>
      <c r="BB775" s="12"/>
      <c r="BC775" s="34"/>
      <c r="BD775" s="12"/>
      <c r="BE775" s="12"/>
      <c r="BF775" s="29"/>
      <c r="BG775" s="29"/>
      <c r="BH775" s="12"/>
      <c r="BI775" s="12"/>
      <c r="BJ775" s="12"/>
    </row>
    <row r="776" spans="2:62" x14ac:dyDescent="0.25">
      <c r="B776" s="12"/>
      <c r="G776" s="16"/>
      <c r="BA776" s="12"/>
      <c r="BB776" s="30"/>
      <c r="BC776" s="12"/>
      <c r="BD776" s="33"/>
      <c r="BE776" s="33"/>
      <c r="BF776" s="29"/>
      <c r="BG776" s="16"/>
      <c r="BH776" s="12"/>
      <c r="BI776" s="12"/>
      <c r="BJ776" s="12"/>
    </row>
    <row r="777" spans="2:62" x14ac:dyDescent="0.25">
      <c r="B777" s="12"/>
      <c r="C777" s="34"/>
      <c r="D777" s="12"/>
      <c r="E777" s="12"/>
      <c r="F777" s="16"/>
      <c r="G777" s="16"/>
      <c r="BA777" s="12"/>
      <c r="BB777" s="12"/>
      <c r="BC777" s="12"/>
      <c r="BD777" s="12"/>
      <c r="BE777" s="33"/>
      <c r="BF777" s="16"/>
      <c r="BG777" s="16"/>
      <c r="BH777" s="12"/>
      <c r="BI777" s="12"/>
      <c r="BJ777" s="12"/>
    </row>
    <row r="778" spans="2:62" x14ac:dyDescent="0.25">
      <c r="C778" s="12"/>
      <c r="BA778" s="12"/>
      <c r="BB778" s="30"/>
      <c r="BC778" s="33"/>
      <c r="BD778" s="33"/>
      <c r="BE778" s="12"/>
      <c r="BF778" s="29"/>
      <c r="BG778" s="29"/>
      <c r="BH778" s="12"/>
      <c r="BI778" s="12"/>
      <c r="BJ778" s="12"/>
    </row>
    <row r="779" spans="2:62" x14ac:dyDescent="0.25">
      <c r="B779" s="12"/>
      <c r="C779" s="12"/>
      <c r="D779" s="12"/>
      <c r="F779" s="16"/>
      <c r="G779" s="16"/>
      <c r="P779" s="28"/>
      <c r="Q779" s="28"/>
      <c r="R779" s="28"/>
      <c r="BA779" s="12"/>
      <c r="BB779" s="30"/>
      <c r="BC779" s="12"/>
      <c r="BD779" s="12"/>
      <c r="BE779" s="33"/>
      <c r="BF779" s="16"/>
      <c r="BG779" s="16"/>
      <c r="BH779" s="12"/>
      <c r="BI779" s="12"/>
      <c r="BJ779" s="12"/>
    </row>
    <row r="780" spans="2:62" x14ac:dyDescent="0.25">
      <c r="E780" s="12"/>
      <c r="BA780" s="12"/>
      <c r="BB780" s="30"/>
      <c r="BC780" s="33"/>
      <c r="BD780" s="33"/>
      <c r="BE780" s="33"/>
      <c r="BF780" s="29"/>
      <c r="BG780" s="29"/>
      <c r="BH780" s="12"/>
      <c r="BI780" s="12"/>
      <c r="BJ780" s="12"/>
    </row>
    <row r="781" spans="2:62" x14ac:dyDescent="0.25">
      <c r="C781" s="12"/>
      <c r="D781" s="12"/>
      <c r="BA781" s="12"/>
      <c r="BB781" s="30"/>
      <c r="BC781" s="33"/>
      <c r="BD781" s="33"/>
      <c r="BE781" s="33"/>
      <c r="BF781" s="29"/>
      <c r="BG781" s="29"/>
      <c r="BH781" s="12"/>
      <c r="BI781" s="12"/>
      <c r="BJ781" s="12"/>
    </row>
    <row r="782" spans="2:62" x14ac:dyDescent="0.25">
      <c r="BA782" s="12"/>
      <c r="BB782" s="30"/>
      <c r="BC782" s="33"/>
      <c r="BD782" s="33"/>
      <c r="BE782" s="33"/>
      <c r="BF782" s="29"/>
      <c r="BG782" s="29"/>
      <c r="BH782" s="12"/>
      <c r="BI782" s="12"/>
      <c r="BJ782" s="12"/>
    </row>
    <row r="783" spans="2:62" x14ac:dyDescent="0.25">
      <c r="F783" s="16"/>
      <c r="G783" s="16"/>
      <c r="BA783" s="12"/>
      <c r="BB783" s="12"/>
      <c r="BC783" s="12"/>
      <c r="BD783" s="12"/>
      <c r="BE783" s="12"/>
      <c r="BF783" s="16"/>
      <c r="BG783" s="16"/>
      <c r="BH783" s="12"/>
      <c r="BI783" s="12"/>
      <c r="BJ783" s="12"/>
    </row>
    <row r="784" spans="2:62" x14ac:dyDescent="0.25">
      <c r="F784" s="16"/>
      <c r="G784" s="16"/>
      <c r="P784" s="28"/>
      <c r="Q784" s="28"/>
      <c r="R784" s="28"/>
      <c r="BA784" s="12"/>
      <c r="BB784" s="12"/>
      <c r="BC784" s="12"/>
      <c r="BD784" s="12"/>
      <c r="BE784" s="12"/>
      <c r="BF784" s="16"/>
      <c r="BG784" s="16"/>
      <c r="BH784" s="12"/>
      <c r="BI784" s="12"/>
      <c r="BJ784" s="12"/>
    </row>
    <row r="785" spans="2:62" x14ac:dyDescent="0.25">
      <c r="B785" s="12"/>
      <c r="C785" s="12"/>
      <c r="D785" s="12"/>
      <c r="E785" s="12"/>
      <c r="BA785" s="12"/>
      <c r="BB785" s="30"/>
      <c r="BC785" s="33"/>
      <c r="BD785" s="33"/>
      <c r="BE785" s="33"/>
      <c r="BF785" s="29"/>
      <c r="BG785" s="29"/>
      <c r="BH785" s="12"/>
      <c r="BI785" s="12"/>
      <c r="BJ785" s="12"/>
    </row>
    <row r="786" spans="2:62" x14ac:dyDescent="0.25">
      <c r="B786" s="12"/>
      <c r="C786" s="12"/>
      <c r="D786" s="12"/>
      <c r="E786" s="12"/>
      <c r="BA786" s="12"/>
      <c r="BB786" s="30"/>
      <c r="BC786" s="33"/>
      <c r="BD786" s="33"/>
      <c r="BE786" s="33"/>
      <c r="BF786" s="29"/>
      <c r="BG786" s="29"/>
      <c r="BH786" s="12"/>
      <c r="BI786" s="12"/>
      <c r="BJ786" s="12"/>
    </row>
    <row r="787" spans="2:62" x14ac:dyDescent="0.25">
      <c r="F787" s="16"/>
      <c r="G787" s="16"/>
      <c r="BA787" s="12"/>
      <c r="BB787" s="30"/>
      <c r="BC787" s="12"/>
      <c r="BD787" s="12"/>
      <c r="BE787" s="12"/>
      <c r="BF787" s="16"/>
      <c r="BG787" s="16"/>
      <c r="BH787" s="12"/>
      <c r="BI787" s="12"/>
      <c r="BJ787" s="12"/>
    </row>
    <row r="788" spans="2:62" x14ac:dyDescent="0.25">
      <c r="F788" s="16"/>
      <c r="G788" s="16"/>
      <c r="BA788" s="12"/>
      <c r="BB788" s="30"/>
      <c r="BC788" s="12"/>
      <c r="BD788" s="12"/>
      <c r="BE788" s="12"/>
      <c r="BF788" s="16"/>
      <c r="BG788" s="16"/>
      <c r="BH788" s="12"/>
      <c r="BI788" s="12"/>
      <c r="BJ788" s="12"/>
    </row>
    <row r="789" spans="2:62" x14ac:dyDescent="0.25">
      <c r="C789" s="12"/>
      <c r="D789" s="12"/>
      <c r="E789" s="12"/>
      <c r="BA789" s="12"/>
      <c r="BB789" s="12"/>
      <c r="BC789" s="12"/>
      <c r="BD789" s="12"/>
      <c r="BE789" s="12"/>
      <c r="BF789" s="29"/>
      <c r="BG789" s="29"/>
      <c r="BH789" s="12"/>
      <c r="BI789" s="12"/>
      <c r="BJ789" s="12"/>
    </row>
    <row r="790" spans="2:62" x14ac:dyDescent="0.25">
      <c r="C790" s="12"/>
      <c r="D790" s="12"/>
      <c r="E790" s="12"/>
      <c r="F790" s="16"/>
      <c r="G790" s="16"/>
      <c r="BA790" s="12"/>
      <c r="BB790" s="30"/>
      <c r="BC790" s="12"/>
      <c r="BD790" s="33"/>
      <c r="BE790" s="12"/>
      <c r="BF790" s="16"/>
      <c r="BG790" s="16"/>
      <c r="BH790" s="12"/>
      <c r="BI790" s="12"/>
      <c r="BJ790" s="12"/>
    </row>
    <row r="791" spans="2:62" x14ac:dyDescent="0.25">
      <c r="B791" s="12"/>
      <c r="C791" s="12"/>
      <c r="D791" s="12"/>
      <c r="E791" s="12"/>
      <c r="BA791" s="12"/>
      <c r="BB791" s="12"/>
      <c r="BC791" s="12"/>
      <c r="BD791" s="12"/>
      <c r="BE791" s="33"/>
      <c r="BF791" s="29"/>
      <c r="BG791" s="29"/>
      <c r="BH791" s="12"/>
      <c r="BI791" s="12"/>
      <c r="BJ791" s="12"/>
    </row>
    <row r="792" spans="2:62" x14ac:dyDescent="0.25">
      <c r="C792" s="12"/>
      <c r="E792" s="12"/>
      <c r="BA792" s="12"/>
      <c r="BB792" s="30"/>
      <c r="BC792" s="33"/>
      <c r="BD792" s="33"/>
      <c r="BE792" s="33"/>
      <c r="BF792" s="29"/>
      <c r="BG792" s="29"/>
      <c r="BH792" s="12"/>
      <c r="BI792" s="12"/>
      <c r="BJ792" s="12"/>
    </row>
    <row r="793" spans="2:62" x14ac:dyDescent="0.25">
      <c r="B793" s="12"/>
      <c r="C793" s="12"/>
      <c r="D793" s="12"/>
      <c r="F793" s="16"/>
      <c r="G793" s="16"/>
      <c r="BA793" s="12"/>
      <c r="BB793" s="12"/>
      <c r="BC793" s="12"/>
      <c r="BD793" s="12"/>
      <c r="BE793" s="12"/>
      <c r="BF793" s="16"/>
      <c r="BG793" s="16"/>
      <c r="BH793" s="12"/>
      <c r="BI793" s="12"/>
      <c r="BJ793" s="12"/>
    </row>
    <row r="794" spans="2:62" x14ac:dyDescent="0.25">
      <c r="BA794" s="12"/>
      <c r="BB794" s="30"/>
      <c r="BC794" s="33"/>
      <c r="BD794" s="33"/>
      <c r="BE794" s="33"/>
      <c r="BF794" s="29"/>
      <c r="BG794" s="29"/>
      <c r="BH794" s="12"/>
      <c r="BI794" s="12"/>
      <c r="BJ794" s="12"/>
    </row>
    <row r="795" spans="2:62" x14ac:dyDescent="0.25">
      <c r="B795" s="12"/>
      <c r="C795" s="12"/>
      <c r="D795" s="12"/>
      <c r="E795" s="12"/>
      <c r="F795" s="16"/>
      <c r="G795" s="16"/>
      <c r="P795" s="28"/>
      <c r="Q795" s="28"/>
      <c r="R795" s="28"/>
      <c r="BA795" s="12"/>
      <c r="BB795" s="30"/>
      <c r="BC795" s="12"/>
      <c r="BD795" s="12"/>
      <c r="BE795" s="12"/>
      <c r="BF795" s="16"/>
      <c r="BG795" s="16"/>
      <c r="BH795" s="12"/>
      <c r="BI795" s="12"/>
      <c r="BJ795" s="12"/>
    </row>
    <row r="796" spans="2:62" x14ac:dyDescent="0.25">
      <c r="BA796" s="12"/>
      <c r="BB796" s="30"/>
      <c r="BC796" s="33"/>
      <c r="BD796" s="33"/>
      <c r="BE796" s="33"/>
      <c r="BF796" s="29"/>
      <c r="BG796" s="29"/>
      <c r="BH796" s="12"/>
      <c r="BI796" s="12"/>
      <c r="BJ796" s="12"/>
    </row>
    <row r="797" spans="2:62" x14ac:dyDescent="0.25">
      <c r="C797" s="12"/>
      <c r="D797" s="12"/>
      <c r="E797" s="12"/>
      <c r="BA797" s="12"/>
      <c r="BB797" s="30"/>
      <c r="BC797" s="33"/>
      <c r="BD797" s="33"/>
      <c r="BE797" s="33"/>
      <c r="BF797" s="29"/>
      <c r="BG797" s="29"/>
      <c r="BH797" s="12"/>
      <c r="BI797" s="12"/>
      <c r="BJ797" s="12"/>
    </row>
    <row r="798" spans="2:62" x14ac:dyDescent="0.25">
      <c r="BA798" s="12"/>
      <c r="BB798" s="30"/>
      <c r="BC798" s="33"/>
      <c r="BD798" s="33"/>
      <c r="BE798" s="33"/>
      <c r="BF798" s="29"/>
      <c r="BG798" s="29"/>
      <c r="BH798" s="12"/>
      <c r="BI798" s="12"/>
      <c r="BJ798" s="12"/>
    </row>
    <row r="799" spans="2:62" x14ac:dyDescent="0.25">
      <c r="F799" s="16"/>
      <c r="G799" s="16"/>
      <c r="BA799" s="12"/>
      <c r="BB799" s="12"/>
      <c r="BC799" s="12"/>
      <c r="BD799" s="12"/>
      <c r="BE799" s="12"/>
      <c r="BF799" s="16"/>
      <c r="BG799" s="16"/>
      <c r="BH799" s="12"/>
      <c r="BI799" s="12"/>
      <c r="BJ799" s="12"/>
    </row>
    <row r="800" spans="2:62" x14ac:dyDescent="0.25">
      <c r="BA800" s="12"/>
      <c r="BB800" s="30"/>
      <c r="BC800" s="33"/>
      <c r="BD800" s="33"/>
      <c r="BE800" s="12"/>
      <c r="BF800" s="29"/>
      <c r="BG800" s="29"/>
      <c r="BH800" s="12"/>
      <c r="BI800" s="12"/>
      <c r="BJ800" s="12"/>
    </row>
    <row r="801" spans="2:62" x14ac:dyDescent="0.25">
      <c r="B801" s="12"/>
      <c r="C801" s="12"/>
      <c r="D801" s="12"/>
      <c r="E801" s="12"/>
      <c r="BA801" s="12"/>
      <c r="BB801" s="30"/>
      <c r="BC801" s="12"/>
      <c r="BD801" s="12"/>
      <c r="BE801" s="12"/>
      <c r="BF801" s="29"/>
      <c r="BG801" s="29"/>
      <c r="BH801" s="12"/>
      <c r="BI801" s="12"/>
      <c r="BJ801" s="12"/>
    </row>
    <row r="802" spans="2:62" x14ac:dyDescent="0.25">
      <c r="E802" s="12"/>
      <c r="F802" s="16"/>
      <c r="G802" s="16"/>
      <c r="BA802" s="12"/>
      <c r="BB802" s="30"/>
      <c r="BC802" s="12"/>
      <c r="BD802" s="12"/>
      <c r="BE802" s="12"/>
      <c r="BF802" s="16"/>
      <c r="BG802" s="16"/>
      <c r="BH802" s="12"/>
      <c r="BI802" s="12"/>
      <c r="BJ802" s="12"/>
    </row>
    <row r="803" spans="2:62" x14ac:dyDescent="0.25">
      <c r="C803" s="12"/>
      <c r="D803" s="12"/>
      <c r="E803" s="12"/>
      <c r="BA803" s="12"/>
      <c r="BB803" s="30"/>
      <c r="BC803" s="33"/>
      <c r="BD803" s="33"/>
      <c r="BE803" s="33"/>
      <c r="BF803" s="29"/>
      <c r="BG803" s="29"/>
      <c r="BH803" s="12"/>
      <c r="BI803" s="12"/>
      <c r="BJ803" s="12"/>
    </row>
    <row r="804" spans="2:62" x14ac:dyDescent="0.25">
      <c r="C804" s="12"/>
      <c r="D804" s="12"/>
      <c r="E804" s="12"/>
      <c r="F804" s="16"/>
      <c r="BA804" s="12"/>
      <c r="BB804" s="12"/>
      <c r="BC804" s="12"/>
      <c r="BD804" s="12"/>
      <c r="BE804" s="12"/>
      <c r="BF804" s="16"/>
      <c r="BG804" s="29"/>
      <c r="BH804" s="12"/>
      <c r="BI804" s="12"/>
      <c r="BJ804" s="12"/>
    </row>
    <row r="805" spans="2:62" x14ac:dyDescent="0.25">
      <c r="BA805" s="12"/>
      <c r="BB805" s="30"/>
      <c r="BC805" s="33"/>
      <c r="BD805" s="33"/>
      <c r="BE805" s="33"/>
      <c r="BF805" s="29"/>
      <c r="BG805" s="29"/>
      <c r="BH805" s="12"/>
      <c r="BI805" s="12"/>
      <c r="BJ805" s="12"/>
    </row>
    <row r="806" spans="2:62" x14ac:dyDescent="0.25">
      <c r="B806" s="12"/>
      <c r="C806" s="12"/>
      <c r="D806" s="12"/>
      <c r="E806" s="12"/>
      <c r="BA806" s="12"/>
      <c r="BB806" s="30"/>
      <c r="BC806" s="33"/>
      <c r="BD806" s="33"/>
      <c r="BE806" s="33"/>
      <c r="BF806" s="29"/>
      <c r="BG806" s="29"/>
      <c r="BH806" s="12"/>
      <c r="BI806" s="12"/>
      <c r="BJ806" s="12"/>
    </row>
    <row r="807" spans="2:62" x14ac:dyDescent="0.25">
      <c r="BA807" s="12"/>
      <c r="BB807" s="30"/>
      <c r="BC807" s="33"/>
      <c r="BD807" s="33"/>
      <c r="BE807" s="33"/>
      <c r="BF807" s="29"/>
      <c r="BG807" s="29"/>
      <c r="BH807" s="12"/>
      <c r="BI807" s="12"/>
      <c r="BJ807" s="12"/>
    </row>
    <row r="808" spans="2:62" x14ac:dyDescent="0.25">
      <c r="BA808" s="12"/>
      <c r="BB808" s="30"/>
      <c r="BC808" s="33"/>
      <c r="BD808" s="33"/>
      <c r="BE808" s="33"/>
      <c r="BF808" s="29"/>
      <c r="BG808" s="29"/>
      <c r="BH808" s="12"/>
      <c r="BI808" s="12"/>
      <c r="BJ808" s="12"/>
    </row>
    <row r="809" spans="2:62" x14ac:dyDescent="0.25">
      <c r="BA809" s="12"/>
      <c r="BB809" s="30"/>
      <c r="BC809" s="33"/>
      <c r="BD809" s="33"/>
      <c r="BE809" s="33"/>
      <c r="BF809" s="29"/>
      <c r="BG809" s="29"/>
      <c r="BH809" s="12"/>
      <c r="BI809" s="12"/>
      <c r="BJ809" s="12"/>
    </row>
    <row r="810" spans="2:62" x14ac:dyDescent="0.25">
      <c r="BA810" s="12"/>
      <c r="BB810" s="30"/>
      <c r="BC810" s="33"/>
      <c r="BD810" s="33"/>
      <c r="BE810" s="33"/>
      <c r="BF810" s="29"/>
      <c r="BG810" s="29"/>
      <c r="BH810" s="12"/>
      <c r="BI810" s="12"/>
      <c r="BJ810" s="12"/>
    </row>
    <row r="811" spans="2:62" x14ac:dyDescent="0.25">
      <c r="BA811" s="12"/>
      <c r="BB811" s="30"/>
      <c r="BC811" s="33"/>
      <c r="BD811" s="33"/>
      <c r="BE811" s="33"/>
      <c r="BF811" s="29"/>
      <c r="BG811" s="29"/>
      <c r="BH811" s="12"/>
      <c r="BI811" s="12"/>
      <c r="BJ811" s="12"/>
    </row>
    <row r="812" spans="2:62" x14ac:dyDescent="0.25">
      <c r="BA812" s="12"/>
      <c r="BB812" s="30"/>
      <c r="BC812" s="33"/>
      <c r="BD812" s="33"/>
      <c r="BE812" s="33"/>
      <c r="BF812" s="29"/>
      <c r="BG812" s="29"/>
      <c r="BH812" s="12"/>
      <c r="BI812" s="12"/>
      <c r="BJ812" s="12"/>
    </row>
    <row r="813" spans="2:62" x14ac:dyDescent="0.25">
      <c r="BA813" s="12"/>
      <c r="BB813" s="30"/>
      <c r="BC813" s="33"/>
      <c r="BD813" s="33"/>
      <c r="BE813" s="33"/>
      <c r="BF813" s="29"/>
      <c r="BG813" s="29"/>
      <c r="BH813" s="12"/>
      <c r="BI813" s="12"/>
      <c r="BJ813" s="12"/>
    </row>
    <row r="814" spans="2:62" x14ac:dyDescent="0.25">
      <c r="BA814" s="12"/>
      <c r="BB814" s="30"/>
      <c r="BC814" s="33"/>
      <c r="BD814" s="33"/>
      <c r="BE814" s="33"/>
      <c r="BF814" s="29"/>
      <c r="BG814" s="29"/>
      <c r="BH814" s="12"/>
      <c r="BI814" s="12"/>
      <c r="BJ814" s="12"/>
    </row>
    <row r="815" spans="2:62" x14ac:dyDescent="0.25">
      <c r="BA815" s="12"/>
      <c r="BB815" s="12"/>
      <c r="BC815" s="12"/>
      <c r="BD815" s="12"/>
      <c r="BE815" s="12"/>
      <c r="BF815" s="29"/>
      <c r="BG815" s="29"/>
      <c r="BH815" s="12"/>
      <c r="BI815" s="12"/>
      <c r="BJ815" s="12"/>
    </row>
    <row r="816" spans="2:62" x14ac:dyDescent="0.25">
      <c r="F816" s="16"/>
      <c r="G816" s="16"/>
      <c r="BA816" s="12"/>
      <c r="BB816" s="30"/>
      <c r="BC816" s="12"/>
      <c r="BD816" s="12"/>
      <c r="BE816" s="12"/>
      <c r="BF816" s="16"/>
      <c r="BG816" s="16"/>
      <c r="BH816" s="12"/>
      <c r="BI816" s="12"/>
      <c r="BJ816" s="12"/>
    </row>
    <row r="817" spans="2:62" x14ac:dyDescent="0.25">
      <c r="B817" s="12"/>
      <c r="C817" s="12"/>
      <c r="D817" s="12"/>
      <c r="E817" s="12"/>
      <c r="BA817" s="12"/>
      <c r="BB817" s="30"/>
      <c r="BC817" s="33"/>
      <c r="BD817" s="33"/>
      <c r="BE817" s="33"/>
      <c r="BF817" s="29"/>
      <c r="BG817" s="29"/>
      <c r="BH817" s="12"/>
      <c r="BI817" s="12"/>
      <c r="BJ817" s="12"/>
    </row>
    <row r="818" spans="2:62" x14ac:dyDescent="0.25">
      <c r="C818" s="12"/>
      <c r="D818" s="12"/>
      <c r="E818" s="12"/>
      <c r="BA818" s="12"/>
      <c r="BB818" s="12"/>
      <c r="BC818" s="12"/>
      <c r="BD818" s="12"/>
      <c r="BE818" s="12"/>
      <c r="BF818" s="29"/>
      <c r="BG818" s="29"/>
      <c r="BH818" s="12"/>
      <c r="BI818" s="12"/>
      <c r="BJ818" s="12"/>
    </row>
    <row r="819" spans="2:62" x14ac:dyDescent="0.25">
      <c r="BA819" s="12"/>
      <c r="BB819" s="30"/>
      <c r="BC819" s="33"/>
      <c r="BD819" s="33"/>
      <c r="BE819" s="33"/>
      <c r="BF819" s="29"/>
      <c r="BG819" s="29"/>
      <c r="BH819" s="12"/>
      <c r="BI819" s="12"/>
      <c r="BJ819" s="12"/>
    </row>
    <row r="820" spans="2:62" x14ac:dyDescent="0.25">
      <c r="B820" s="12"/>
      <c r="C820" s="12"/>
      <c r="D820" s="12"/>
      <c r="E820" s="12"/>
      <c r="BA820" s="12"/>
      <c r="BB820" s="30"/>
      <c r="BC820" s="33"/>
      <c r="BD820" s="33"/>
      <c r="BE820" s="33"/>
      <c r="BF820" s="29"/>
      <c r="BG820" s="29"/>
      <c r="BH820" s="12"/>
      <c r="BI820" s="12"/>
      <c r="BJ820" s="12"/>
    </row>
    <row r="821" spans="2:62" x14ac:dyDescent="0.25">
      <c r="BA821" s="12"/>
      <c r="BB821" s="12"/>
      <c r="BC821" s="12"/>
      <c r="BD821" s="12"/>
      <c r="BE821" s="33"/>
      <c r="BF821" s="29"/>
      <c r="BG821" s="29"/>
      <c r="BH821" s="12"/>
      <c r="BI821" s="12"/>
      <c r="BJ821" s="12"/>
    </row>
    <row r="822" spans="2:62" x14ac:dyDescent="0.25">
      <c r="BA822" s="12"/>
      <c r="BB822" s="12"/>
      <c r="BC822" s="34"/>
      <c r="BD822" s="12"/>
      <c r="BE822" s="12"/>
      <c r="BF822" s="29"/>
      <c r="BG822" s="29"/>
      <c r="BH822" s="12"/>
      <c r="BI822" s="12"/>
      <c r="BJ822" s="12"/>
    </row>
    <row r="823" spans="2:62" x14ac:dyDescent="0.25">
      <c r="B823" s="12"/>
      <c r="C823" s="12"/>
      <c r="D823" s="12"/>
      <c r="BA823" s="12"/>
      <c r="BB823" s="30"/>
      <c r="BC823" s="33"/>
      <c r="BD823" s="33"/>
      <c r="BE823" s="33"/>
      <c r="BF823" s="29"/>
      <c r="BG823" s="29"/>
      <c r="BH823" s="12"/>
      <c r="BI823" s="12"/>
      <c r="BJ823" s="12"/>
    </row>
    <row r="824" spans="2:62" x14ac:dyDescent="0.25">
      <c r="B824" s="12"/>
      <c r="C824" s="34"/>
      <c r="D824" s="12"/>
      <c r="E824" s="12"/>
      <c r="F824" s="16"/>
      <c r="G824" s="16"/>
      <c r="BA824" s="12"/>
      <c r="BB824" s="30"/>
      <c r="BC824" s="12"/>
      <c r="BD824" s="12"/>
      <c r="BE824" s="33"/>
      <c r="BF824" s="16"/>
      <c r="BG824" s="16"/>
      <c r="BH824" s="12"/>
      <c r="BI824" s="12"/>
      <c r="BJ824" s="12"/>
    </row>
    <row r="825" spans="2:62" x14ac:dyDescent="0.25">
      <c r="BA825" s="12"/>
      <c r="BB825" s="30"/>
      <c r="BC825" s="33"/>
      <c r="BD825" s="33"/>
      <c r="BE825" s="33"/>
      <c r="BF825" s="29"/>
      <c r="BG825" s="29"/>
      <c r="BH825" s="12"/>
      <c r="BI825" s="12"/>
      <c r="BJ825" s="12"/>
    </row>
    <row r="826" spans="2:62" x14ac:dyDescent="0.25">
      <c r="C826" s="12"/>
      <c r="D826" s="12"/>
      <c r="F826" s="16"/>
      <c r="G826" s="16"/>
      <c r="BA826" s="12"/>
      <c r="BB826" s="30"/>
      <c r="BC826" s="12"/>
      <c r="BD826" s="12"/>
      <c r="BE826" s="12"/>
      <c r="BF826" s="16"/>
      <c r="BG826" s="16"/>
      <c r="BH826" s="12"/>
      <c r="BI826" s="12"/>
      <c r="BJ826" s="12"/>
    </row>
    <row r="827" spans="2:62" x14ac:dyDescent="0.25">
      <c r="BA827" s="12"/>
      <c r="BB827" s="30"/>
      <c r="BC827" s="33"/>
      <c r="BD827" s="33"/>
      <c r="BE827" s="33"/>
      <c r="BF827" s="29"/>
      <c r="BG827" s="29"/>
      <c r="BH827" s="12"/>
      <c r="BI827" s="12"/>
      <c r="BJ827" s="12"/>
    </row>
    <row r="828" spans="2:62" x14ac:dyDescent="0.25">
      <c r="C828" s="12"/>
      <c r="D828" s="12"/>
      <c r="E828" s="12"/>
      <c r="BA828" s="12"/>
      <c r="BB828" s="30"/>
      <c r="BC828" s="33"/>
      <c r="BD828" s="33"/>
      <c r="BE828" s="33"/>
      <c r="BF828" s="29"/>
      <c r="BG828" s="29"/>
      <c r="BH828" s="12"/>
      <c r="BI828" s="12"/>
      <c r="BJ828" s="12"/>
    </row>
    <row r="829" spans="2:62" x14ac:dyDescent="0.25">
      <c r="BA829" s="12"/>
      <c r="BB829" s="30"/>
      <c r="BC829" s="33"/>
      <c r="BD829" s="33"/>
      <c r="BE829" s="33"/>
      <c r="BF829" s="29"/>
      <c r="BG829" s="29"/>
      <c r="BH829" s="12"/>
      <c r="BI829" s="12"/>
      <c r="BJ829" s="12"/>
    </row>
    <row r="830" spans="2:62" x14ac:dyDescent="0.25">
      <c r="F830" s="16"/>
      <c r="G830" s="16"/>
      <c r="BA830" s="12"/>
      <c r="BB830" s="12"/>
      <c r="BC830" s="12"/>
      <c r="BD830" s="12"/>
      <c r="BE830" s="12"/>
      <c r="BF830" s="16"/>
      <c r="BG830" s="16"/>
      <c r="BH830" s="12"/>
      <c r="BI830" s="12"/>
      <c r="BJ830" s="12"/>
    </row>
    <row r="831" spans="2:62" x14ac:dyDescent="0.25">
      <c r="BA831" s="12"/>
      <c r="BB831" s="30"/>
      <c r="BC831" s="33"/>
      <c r="BD831" s="33"/>
      <c r="BE831" s="33"/>
      <c r="BF831" s="29"/>
      <c r="BG831" s="29"/>
      <c r="BH831" s="12"/>
      <c r="BI831" s="12"/>
      <c r="BJ831" s="12"/>
    </row>
    <row r="832" spans="2:62" x14ac:dyDescent="0.25">
      <c r="B832" s="12"/>
      <c r="C832" s="12"/>
      <c r="D832" s="12"/>
      <c r="E832" s="12"/>
      <c r="BA832" s="12"/>
      <c r="BB832" s="30"/>
      <c r="BC832" s="33"/>
      <c r="BD832" s="33"/>
      <c r="BE832" s="33"/>
      <c r="BF832" s="29"/>
      <c r="BG832" s="29"/>
      <c r="BH832" s="12"/>
      <c r="BI832" s="12"/>
      <c r="BJ832" s="12"/>
    </row>
    <row r="833" spans="2:62" x14ac:dyDescent="0.25">
      <c r="BA833" s="12"/>
      <c r="BB833" s="30"/>
      <c r="BC833" s="33"/>
      <c r="BD833" s="33"/>
      <c r="BE833" s="33"/>
      <c r="BF833" s="29"/>
      <c r="BG833" s="29"/>
      <c r="BH833" s="12"/>
      <c r="BI833" s="12"/>
      <c r="BJ833" s="12"/>
    </row>
    <row r="834" spans="2:62" x14ac:dyDescent="0.25">
      <c r="BA834" s="12"/>
      <c r="BB834" s="12"/>
      <c r="BC834" s="34"/>
      <c r="BD834" s="12"/>
      <c r="BE834" s="12"/>
      <c r="BF834" s="29"/>
      <c r="BG834" s="29"/>
      <c r="BH834" s="12"/>
      <c r="BI834" s="12"/>
      <c r="BJ834" s="12"/>
    </row>
    <row r="835" spans="2:62" x14ac:dyDescent="0.25">
      <c r="BA835" s="12"/>
      <c r="BB835" s="30"/>
      <c r="BC835" s="33"/>
      <c r="BD835" s="33"/>
      <c r="BE835" s="33"/>
      <c r="BF835" s="29"/>
      <c r="BG835" s="29"/>
      <c r="BH835" s="12"/>
      <c r="BI835" s="12"/>
      <c r="BJ835" s="12"/>
    </row>
    <row r="836" spans="2:62" x14ac:dyDescent="0.25">
      <c r="B836" s="12"/>
      <c r="C836" s="34"/>
      <c r="D836" s="12"/>
      <c r="E836" s="12"/>
      <c r="BA836" s="12"/>
      <c r="BB836" s="30"/>
      <c r="BC836" s="33"/>
      <c r="BD836" s="33"/>
      <c r="BE836" s="33"/>
      <c r="BF836" s="29"/>
      <c r="BG836" s="29"/>
      <c r="BH836" s="12"/>
      <c r="BI836" s="12"/>
      <c r="BJ836" s="12"/>
    </row>
    <row r="837" spans="2:62" x14ac:dyDescent="0.25">
      <c r="F837" s="16"/>
      <c r="G837" s="16"/>
      <c r="BA837" s="12"/>
      <c r="BB837" s="30"/>
      <c r="BC837" s="12"/>
      <c r="BD837" s="12"/>
      <c r="BE837" s="12"/>
      <c r="BF837" s="16"/>
      <c r="BG837" s="16"/>
      <c r="BH837" s="12"/>
      <c r="BI837" s="12"/>
      <c r="BJ837" s="12"/>
    </row>
    <row r="838" spans="2:62" x14ac:dyDescent="0.25">
      <c r="BA838" s="12"/>
      <c r="BB838" s="30"/>
      <c r="BC838" s="12"/>
      <c r="BD838" s="12"/>
      <c r="BE838" s="12"/>
      <c r="BF838" s="29"/>
      <c r="BG838" s="29"/>
      <c r="BH838" s="12"/>
      <c r="BI838" s="12"/>
      <c r="BJ838" s="12"/>
    </row>
    <row r="839" spans="2:62" x14ac:dyDescent="0.25">
      <c r="C839" s="12"/>
      <c r="D839" s="12"/>
      <c r="E839" s="12"/>
      <c r="BA839" s="12"/>
      <c r="BB839" s="30"/>
      <c r="BC839" s="33"/>
      <c r="BD839" s="33"/>
      <c r="BE839" s="33"/>
      <c r="BF839" s="29"/>
      <c r="BG839" s="29"/>
      <c r="BH839" s="12"/>
      <c r="BI839" s="12"/>
      <c r="BJ839" s="12"/>
    </row>
    <row r="840" spans="2:62" x14ac:dyDescent="0.25">
      <c r="C840" s="12"/>
      <c r="D840" s="12"/>
      <c r="E840" s="12"/>
      <c r="BA840" s="12"/>
      <c r="BB840" s="30"/>
      <c r="BC840" s="33"/>
      <c r="BD840" s="33"/>
      <c r="BE840" s="33"/>
      <c r="BF840" s="29"/>
      <c r="BG840" s="29"/>
      <c r="BH840" s="12"/>
      <c r="BI840" s="12"/>
      <c r="BJ840" s="12"/>
    </row>
    <row r="841" spans="2:62" x14ac:dyDescent="0.25">
      <c r="F841" s="16"/>
      <c r="BA841" s="12"/>
      <c r="BB841" s="12"/>
      <c r="BC841" s="12"/>
      <c r="BD841" s="12"/>
      <c r="BE841" s="12"/>
      <c r="BF841" s="16"/>
      <c r="BG841" s="29"/>
      <c r="BH841" s="12"/>
      <c r="BI841" s="12"/>
      <c r="BJ841" s="12"/>
    </row>
    <row r="842" spans="2:62" x14ac:dyDescent="0.25">
      <c r="BA842" s="12"/>
      <c r="BB842" s="30"/>
      <c r="BC842" s="33"/>
      <c r="BD842" s="33"/>
      <c r="BE842" s="33"/>
      <c r="BF842" s="29"/>
      <c r="BG842" s="29"/>
      <c r="BH842" s="12"/>
      <c r="BI842" s="12"/>
      <c r="BJ842" s="12"/>
    </row>
    <row r="843" spans="2:62" x14ac:dyDescent="0.25">
      <c r="B843" s="12"/>
      <c r="C843" s="12"/>
      <c r="D843" s="12"/>
      <c r="E843" s="12"/>
      <c r="BA843" s="12"/>
      <c r="BB843" s="30"/>
      <c r="BC843" s="33"/>
      <c r="BD843" s="33"/>
      <c r="BE843" s="33"/>
      <c r="BF843" s="29"/>
      <c r="BG843" s="29"/>
      <c r="BH843" s="12"/>
      <c r="BI843" s="12"/>
      <c r="BJ843" s="12"/>
    </row>
    <row r="844" spans="2:62" x14ac:dyDescent="0.25">
      <c r="BA844" s="12"/>
      <c r="BB844" s="30"/>
      <c r="BC844" s="33"/>
      <c r="BD844" s="33"/>
      <c r="BE844" s="33"/>
      <c r="BF844" s="29"/>
      <c r="BG844" s="29"/>
      <c r="BH844" s="12"/>
      <c r="BI844" s="12"/>
      <c r="BJ844" s="12"/>
    </row>
    <row r="845" spans="2:62" x14ac:dyDescent="0.25">
      <c r="F845" s="16"/>
      <c r="G845" s="16"/>
      <c r="BA845" s="12"/>
      <c r="BB845" s="30"/>
      <c r="BC845" s="12"/>
      <c r="BD845" s="12"/>
      <c r="BE845" s="12"/>
      <c r="BF845" s="16"/>
      <c r="BG845" s="16"/>
      <c r="BH845" s="12"/>
      <c r="BI845" s="12"/>
      <c r="BJ845" s="12"/>
    </row>
    <row r="846" spans="2:62" x14ac:dyDescent="0.25">
      <c r="F846" s="16"/>
      <c r="G846" s="16"/>
      <c r="BA846" s="12"/>
      <c r="BB846" s="12"/>
      <c r="BC846" s="12"/>
      <c r="BD846" s="12"/>
      <c r="BE846" s="12"/>
      <c r="BF846" s="16"/>
      <c r="BG846" s="16"/>
      <c r="BH846" s="12"/>
      <c r="BI846" s="12"/>
      <c r="BJ846" s="12"/>
    </row>
    <row r="847" spans="2:62" x14ac:dyDescent="0.25">
      <c r="C847" s="12"/>
      <c r="D847" s="12"/>
      <c r="E847" s="12"/>
      <c r="F847" s="16"/>
      <c r="BA847" s="12"/>
      <c r="BB847" s="12"/>
      <c r="BC847" s="12"/>
      <c r="BD847" s="12"/>
      <c r="BE847" s="12"/>
      <c r="BF847" s="16"/>
      <c r="BG847" s="29"/>
      <c r="BH847" s="12"/>
      <c r="BI847" s="12"/>
      <c r="BJ847" s="12"/>
    </row>
    <row r="848" spans="2:62" x14ac:dyDescent="0.25">
      <c r="B848" s="12"/>
      <c r="C848" s="12"/>
      <c r="D848" s="12"/>
      <c r="E848" s="12"/>
      <c r="BA848" s="12"/>
      <c r="BB848" s="12"/>
      <c r="BC848" s="12"/>
      <c r="BD848" s="12"/>
      <c r="BE848" s="12"/>
      <c r="BF848" s="29"/>
      <c r="BG848" s="29"/>
      <c r="BH848" s="12"/>
      <c r="BI848" s="12"/>
      <c r="BJ848" s="12"/>
    </row>
    <row r="849" spans="2:62" x14ac:dyDescent="0.25">
      <c r="B849" s="12"/>
      <c r="C849" s="12"/>
      <c r="D849" s="12"/>
      <c r="E849" s="12"/>
      <c r="BA849" s="12"/>
      <c r="BB849" s="30"/>
      <c r="BC849" s="12"/>
      <c r="BD849" s="12"/>
      <c r="BE849" s="33"/>
      <c r="BF849" s="29"/>
      <c r="BG849" s="29"/>
      <c r="BH849" s="12"/>
      <c r="BI849" s="12"/>
      <c r="BJ849" s="12"/>
    </row>
    <row r="850" spans="2:62" x14ac:dyDescent="0.25">
      <c r="B850" s="12"/>
      <c r="C850" s="12"/>
      <c r="D850" s="12"/>
      <c r="E850" s="12"/>
      <c r="BA850" s="12"/>
      <c r="BB850" s="30"/>
      <c r="BC850" s="33"/>
      <c r="BD850" s="33"/>
      <c r="BE850" s="33"/>
      <c r="BF850" s="29"/>
      <c r="BG850" s="29"/>
      <c r="BH850" s="12"/>
      <c r="BI850" s="12"/>
      <c r="BJ850" s="12"/>
    </row>
    <row r="851" spans="2:62" x14ac:dyDescent="0.25">
      <c r="C851" s="12"/>
      <c r="D851" s="12"/>
      <c r="BA851" s="12"/>
      <c r="BB851" s="30"/>
      <c r="BC851" s="33"/>
      <c r="BD851" s="33"/>
      <c r="BE851" s="33"/>
      <c r="BF851" s="29"/>
      <c r="BG851" s="29"/>
      <c r="BH851" s="12"/>
      <c r="BI851" s="12"/>
      <c r="BJ851" s="12"/>
    </row>
    <row r="852" spans="2:62" x14ac:dyDescent="0.25">
      <c r="BA852" s="12"/>
      <c r="BB852" s="30"/>
      <c r="BC852" s="12"/>
      <c r="BD852" s="33"/>
      <c r="BE852" s="33"/>
      <c r="BF852" s="29"/>
      <c r="BG852" s="29"/>
      <c r="BH852" s="12"/>
      <c r="BI852" s="12"/>
      <c r="BJ852" s="12"/>
    </row>
    <row r="853" spans="2:62" x14ac:dyDescent="0.25">
      <c r="BA853" s="12"/>
      <c r="BB853" s="30"/>
      <c r="BC853" s="33"/>
      <c r="BD853" s="33"/>
      <c r="BE853" s="33"/>
      <c r="BF853" s="29"/>
      <c r="BG853" s="29"/>
      <c r="BH853" s="12"/>
      <c r="BI853" s="12"/>
      <c r="BJ853" s="12"/>
    </row>
    <row r="854" spans="2:62" x14ac:dyDescent="0.25">
      <c r="C854" s="12"/>
      <c r="BA854" s="12"/>
      <c r="BB854" s="30"/>
      <c r="BC854" s="33"/>
      <c r="BD854" s="33"/>
      <c r="BE854" s="33"/>
      <c r="BF854" s="29"/>
      <c r="BG854" s="29"/>
      <c r="BH854" s="12"/>
      <c r="BI854" s="12"/>
      <c r="BJ854" s="12"/>
    </row>
    <row r="855" spans="2:62" x14ac:dyDescent="0.25">
      <c r="BA855" s="12"/>
      <c r="BB855" s="12"/>
      <c r="BC855" s="12"/>
      <c r="BD855" s="12"/>
      <c r="BE855" s="12"/>
      <c r="BF855" s="29"/>
      <c r="BG855" s="29"/>
      <c r="BH855" s="12"/>
      <c r="BI855" s="12"/>
      <c r="BJ855" s="12"/>
    </row>
    <row r="856" spans="2:62" x14ac:dyDescent="0.25">
      <c r="BA856" s="12"/>
      <c r="BB856" s="30"/>
      <c r="BC856" s="33"/>
      <c r="BD856" s="33"/>
      <c r="BE856" s="33"/>
      <c r="BF856" s="29"/>
      <c r="BG856" s="29"/>
      <c r="BH856" s="12"/>
      <c r="BI856" s="12"/>
      <c r="BJ856" s="12"/>
    </row>
    <row r="857" spans="2:62" x14ac:dyDescent="0.25">
      <c r="B857" s="12"/>
      <c r="C857" s="12"/>
      <c r="D857" s="12"/>
      <c r="E857" s="12"/>
      <c r="BA857" s="12"/>
      <c r="BB857" s="30"/>
      <c r="BC857" s="33"/>
      <c r="BD857" s="33"/>
      <c r="BE857" s="33"/>
      <c r="BF857" s="29"/>
      <c r="BG857" s="29"/>
      <c r="BH857" s="12"/>
      <c r="BI857" s="12"/>
      <c r="BJ857" s="12"/>
    </row>
    <row r="858" spans="2:62" x14ac:dyDescent="0.25">
      <c r="BA858" s="12"/>
      <c r="BB858" s="30"/>
      <c r="BC858" s="33"/>
      <c r="BD858" s="33"/>
      <c r="BE858" s="33"/>
      <c r="BF858" s="29"/>
      <c r="BG858" s="29"/>
      <c r="BH858" s="12"/>
      <c r="BI858" s="12"/>
      <c r="BJ858" s="12"/>
    </row>
    <row r="859" spans="2:62" x14ac:dyDescent="0.25">
      <c r="BA859" s="12"/>
      <c r="BB859" s="30"/>
      <c r="BC859" s="33"/>
      <c r="BD859" s="33"/>
      <c r="BE859" s="33"/>
      <c r="BF859" s="29"/>
      <c r="BG859" s="29"/>
      <c r="BH859" s="12"/>
      <c r="BI859" s="12"/>
      <c r="BJ859" s="12"/>
    </row>
    <row r="860" spans="2:62" x14ac:dyDescent="0.25">
      <c r="BA860" s="12"/>
      <c r="BB860" s="30"/>
      <c r="BC860" s="33"/>
      <c r="BD860" s="33"/>
      <c r="BE860" s="33"/>
      <c r="BF860" s="29"/>
      <c r="BG860" s="29"/>
      <c r="BH860" s="12"/>
      <c r="BI860" s="12"/>
      <c r="BJ860" s="12"/>
    </row>
    <row r="861" spans="2:62" x14ac:dyDescent="0.25">
      <c r="BA861" s="12"/>
      <c r="BB861" s="30"/>
      <c r="BC861" s="12"/>
      <c r="BD861" s="33"/>
      <c r="BE861" s="33"/>
      <c r="BF861" s="29"/>
      <c r="BG861" s="29"/>
      <c r="BH861" s="12"/>
      <c r="BI861" s="12"/>
      <c r="BJ861" s="12"/>
    </row>
    <row r="862" spans="2:62" x14ac:dyDescent="0.25">
      <c r="BA862" s="12"/>
      <c r="BB862" s="30"/>
      <c r="BC862" s="33"/>
      <c r="BD862" s="33"/>
      <c r="BE862" s="33"/>
      <c r="BF862" s="29"/>
      <c r="BG862" s="29"/>
      <c r="BH862" s="12"/>
      <c r="BI862" s="12"/>
      <c r="BJ862" s="12"/>
    </row>
    <row r="863" spans="2:62" x14ac:dyDescent="0.25">
      <c r="C863" s="12"/>
      <c r="BA863" s="12"/>
      <c r="BB863" s="30"/>
      <c r="BC863" s="33"/>
      <c r="BD863" s="33"/>
      <c r="BE863" s="33"/>
      <c r="BF863" s="29"/>
      <c r="BG863" s="29"/>
      <c r="BH863" s="12"/>
      <c r="BI863" s="12"/>
      <c r="BJ863" s="12"/>
    </row>
    <row r="864" spans="2:62" x14ac:dyDescent="0.25">
      <c r="F864" s="16"/>
      <c r="G864" s="16"/>
      <c r="BA864" s="12"/>
      <c r="BB864" s="12"/>
      <c r="BC864" s="12"/>
      <c r="BD864" s="12"/>
      <c r="BE864" s="12"/>
      <c r="BF864" s="16"/>
      <c r="BG864" s="16"/>
      <c r="BH864" s="12"/>
      <c r="BI864" s="12"/>
      <c r="BJ864" s="12"/>
    </row>
    <row r="865" spans="2:62" x14ac:dyDescent="0.25">
      <c r="F865" s="16"/>
      <c r="G865" s="16"/>
      <c r="BA865" s="12"/>
      <c r="BB865" s="30"/>
      <c r="BC865" s="12"/>
      <c r="BD865" s="12"/>
      <c r="BE865" s="12"/>
      <c r="BF865" s="16"/>
      <c r="BG865" s="16"/>
      <c r="BH865" s="12"/>
      <c r="BI865" s="12"/>
      <c r="BJ865" s="12"/>
    </row>
    <row r="866" spans="2:62" x14ac:dyDescent="0.25">
      <c r="B866" s="12"/>
      <c r="C866" s="12"/>
      <c r="D866" s="12"/>
      <c r="E866" s="12"/>
      <c r="BA866" s="12"/>
      <c r="BB866" s="30"/>
      <c r="BC866" s="33"/>
      <c r="BD866" s="33"/>
      <c r="BE866" s="33"/>
      <c r="BF866" s="29"/>
      <c r="BG866" s="29"/>
      <c r="BH866" s="12"/>
      <c r="BI866" s="12"/>
      <c r="BJ866" s="12"/>
    </row>
    <row r="867" spans="2:62" x14ac:dyDescent="0.25">
      <c r="C867" s="12"/>
      <c r="D867" s="12"/>
      <c r="E867" s="12"/>
      <c r="F867" s="16"/>
      <c r="G867" s="16"/>
      <c r="BA867" s="12"/>
      <c r="BB867" s="30"/>
      <c r="BC867" s="12"/>
      <c r="BD867" s="12"/>
      <c r="BE867" s="12"/>
      <c r="BF867" s="16"/>
      <c r="BG867" s="16"/>
      <c r="BH867" s="12"/>
      <c r="BI867" s="12"/>
      <c r="BJ867" s="12"/>
    </row>
    <row r="868" spans="2:62" x14ac:dyDescent="0.25">
      <c r="BA868" s="12"/>
      <c r="BB868" s="30"/>
      <c r="BC868" s="33"/>
      <c r="BD868" s="33"/>
      <c r="BE868" s="33"/>
      <c r="BF868" s="29"/>
      <c r="BG868" s="29"/>
      <c r="BH868" s="12"/>
      <c r="BI868" s="12"/>
      <c r="BJ868" s="12"/>
    </row>
    <row r="869" spans="2:62" x14ac:dyDescent="0.25">
      <c r="C869" s="12"/>
      <c r="D869" s="12"/>
      <c r="E869" s="12"/>
      <c r="BA869" s="12"/>
      <c r="BB869" s="30"/>
      <c r="BC869" s="33"/>
      <c r="BD869" s="33"/>
      <c r="BE869" s="33"/>
      <c r="BF869" s="29"/>
      <c r="BG869" s="29"/>
      <c r="BH869" s="12"/>
      <c r="BI869" s="12"/>
      <c r="BJ869" s="12"/>
    </row>
    <row r="870" spans="2:62" ht="15" customHeight="1" x14ac:dyDescent="0.25">
      <c r="F870" s="16"/>
      <c r="G870" s="16"/>
      <c r="BA870" s="12"/>
      <c r="BB870" s="32"/>
      <c r="BC870" s="12"/>
      <c r="BD870" s="12"/>
      <c r="BE870" s="12"/>
      <c r="BF870" s="16"/>
      <c r="BG870" s="16"/>
      <c r="BH870" s="12"/>
      <c r="BI870" s="12"/>
      <c r="BJ870" s="12"/>
    </row>
    <row r="871" spans="2:62" x14ac:dyDescent="0.25">
      <c r="BA871" s="12"/>
      <c r="BB871" s="30"/>
      <c r="BC871" s="33"/>
      <c r="BD871" s="33"/>
      <c r="BE871" s="33"/>
      <c r="BF871" s="29"/>
      <c r="BG871" s="29"/>
      <c r="BH871" s="12"/>
      <c r="BI871" s="12"/>
      <c r="BJ871" s="12"/>
    </row>
    <row r="872" spans="2:62" x14ac:dyDescent="0.25">
      <c r="B872" s="32"/>
      <c r="C872" s="12"/>
      <c r="D872" s="12"/>
      <c r="E872" s="12"/>
      <c r="BA872" s="12"/>
      <c r="BB872" s="12"/>
      <c r="BC872" s="12"/>
      <c r="BD872" s="12"/>
      <c r="BE872" s="12"/>
      <c r="BF872" s="29"/>
      <c r="BG872" s="29"/>
      <c r="BH872" s="12"/>
      <c r="BI872" s="12"/>
      <c r="BJ872" s="12"/>
    </row>
    <row r="873" spans="2:62" x14ac:dyDescent="0.25">
      <c r="BA873" s="12"/>
      <c r="BB873" s="12"/>
      <c r="BC873" s="12"/>
      <c r="BD873" s="12"/>
      <c r="BE873" s="12"/>
      <c r="BF873" s="29"/>
      <c r="BG873" s="29"/>
      <c r="BH873" s="12"/>
      <c r="BI873" s="12"/>
      <c r="BJ873" s="12"/>
    </row>
    <row r="874" spans="2:62" x14ac:dyDescent="0.25">
      <c r="B874" s="12"/>
      <c r="C874" s="12"/>
      <c r="D874" s="12"/>
      <c r="E874" s="12"/>
      <c r="BA874" s="12"/>
      <c r="BB874" s="30"/>
      <c r="BC874" s="33"/>
      <c r="BD874" s="33"/>
      <c r="BE874" s="33"/>
      <c r="BF874" s="29"/>
      <c r="BG874" s="29"/>
      <c r="BH874" s="12"/>
      <c r="BI874" s="12"/>
      <c r="BJ874" s="12"/>
    </row>
    <row r="875" spans="2:62" x14ac:dyDescent="0.25">
      <c r="B875" s="12"/>
      <c r="C875" s="12"/>
      <c r="D875" s="12"/>
      <c r="E875" s="12"/>
      <c r="F875" s="16"/>
      <c r="G875" s="16"/>
      <c r="BA875" s="12"/>
      <c r="BB875" s="30"/>
      <c r="BC875" s="12"/>
      <c r="BD875" s="12"/>
      <c r="BE875" s="12"/>
      <c r="BF875" s="16"/>
      <c r="BG875" s="16"/>
      <c r="BH875" s="12"/>
      <c r="BI875" s="12"/>
      <c r="BJ875" s="12"/>
    </row>
    <row r="876" spans="2:62" x14ac:dyDescent="0.25">
      <c r="BA876" s="12"/>
      <c r="BB876" s="30"/>
      <c r="BC876" s="33"/>
      <c r="BD876" s="33"/>
      <c r="BE876" s="12"/>
      <c r="BF876" s="29"/>
      <c r="BG876" s="29"/>
      <c r="BH876" s="12"/>
      <c r="BI876" s="12"/>
      <c r="BJ876" s="12"/>
    </row>
    <row r="877" spans="2:62" x14ac:dyDescent="0.25">
      <c r="C877" s="12"/>
      <c r="D877" s="12"/>
      <c r="E877" s="12"/>
      <c r="BA877" s="12"/>
      <c r="BB877" s="30"/>
      <c r="BC877" s="33"/>
      <c r="BD877" s="33"/>
      <c r="BE877" s="33"/>
      <c r="BF877" s="29"/>
      <c r="BG877" s="29"/>
      <c r="BH877" s="12"/>
      <c r="BI877" s="12"/>
      <c r="BJ877" s="12"/>
    </row>
    <row r="878" spans="2:62" x14ac:dyDescent="0.25">
      <c r="E878" s="12"/>
      <c r="F878" s="16"/>
      <c r="BA878" s="12"/>
      <c r="BB878" s="12"/>
      <c r="BC878" s="12"/>
      <c r="BD878" s="12"/>
      <c r="BE878" s="12"/>
      <c r="BF878" s="16"/>
      <c r="BG878" s="29"/>
      <c r="BH878" s="12"/>
      <c r="BI878" s="12"/>
      <c r="BJ878" s="12"/>
    </row>
    <row r="879" spans="2:62" x14ac:dyDescent="0.25">
      <c r="BA879" s="12"/>
      <c r="BB879" s="30"/>
      <c r="BC879" s="33"/>
      <c r="BD879" s="33"/>
      <c r="BE879" s="33"/>
      <c r="BF879" s="29"/>
      <c r="BG879" s="29"/>
      <c r="BH879" s="12"/>
      <c r="BI879" s="12"/>
      <c r="BJ879" s="12"/>
    </row>
    <row r="880" spans="2:62" x14ac:dyDescent="0.25">
      <c r="B880" s="12"/>
      <c r="C880" s="12"/>
      <c r="D880" s="12"/>
      <c r="E880" s="12"/>
      <c r="BA880" s="12"/>
      <c r="BB880" s="30"/>
      <c r="BC880" s="12"/>
      <c r="BD880" s="33"/>
      <c r="BE880" s="33"/>
      <c r="BF880" s="29"/>
      <c r="BG880" s="29"/>
      <c r="BH880" s="12"/>
      <c r="BI880" s="12"/>
      <c r="BJ880" s="12"/>
    </row>
    <row r="881" spans="2:62" x14ac:dyDescent="0.25">
      <c r="F881" s="16"/>
      <c r="BA881" s="12"/>
      <c r="BB881" s="12"/>
      <c r="BC881" s="12"/>
      <c r="BD881" s="12"/>
      <c r="BE881" s="12"/>
      <c r="BF881" s="16"/>
      <c r="BG881" s="29"/>
      <c r="BH881" s="12"/>
      <c r="BI881" s="12"/>
      <c r="BJ881" s="12"/>
    </row>
    <row r="882" spans="2:62" x14ac:dyDescent="0.25">
      <c r="C882" s="12"/>
      <c r="BA882" s="12"/>
      <c r="BB882" s="30"/>
      <c r="BC882" s="33"/>
      <c r="BD882" s="33"/>
      <c r="BE882" s="12"/>
      <c r="BF882" s="29"/>
      <c r="BG882" s="29"/>
      <c r="BH882" s="12"/>
      <c r="BI882" s="12"/>
      <c r="BJ882" s="12"/>
    </row>
    <row r="883" spans="2:62" x14ac:dyDescent="0.25">
      <c r="B883" s="12"/>
      <c r="C883" s="12"/>
      <c r="D883" s="12"/>
      <c r="E883" s="12"/>
      <c r="BA883" s="12"/>
      <c r="BB883" s="30"/>
      <c r="BC883" s="33"/>
      <c r="BD883" s="33"/>
      <c r="BE883" s="33"/>
      <c r="BF883" s="29"/>
      <c r="BG883" s="29"/>
      <c r="BH883" s="12"/>
      <c r="BI883" s="12"/>
      <c r="BJ883" s="12"/>
    </row>
    <row r="884" spans="2:62" x14ac:dyDescent="0.25">
      <c r="E884" s="12"/>
      <c r="F884" s="16"/>
      <c r="G884" s="16"/>
      <c r="BA884" s="12"/>
      <c r="BB884" s="30"/>
      <c r="BC884" s="12"/>
      <c r="BD884" s="12"/>
      <c r="BE884" s="12"/>
      <c r="BF884" s="16"/>
      <c r="BG884" s="16"/>
      <c r="BH884" s="12"/>
      <c r="BI884" s="12"/>
      <c r="BJ884" s="12"/>
    </row>
    <row r="885" spans="2:62" x14ac:dyDescent="0.25">
      <c r="BA885" s="12"/>
      <c r="BB885" s="12"/>
      <c r="BC885" s="12"/>
      <c r="BD885" s="12"/>
      <c r="BE885" s="12"/>
      <c r="BF885" s="29"/>
      <c r="BG885" s="29"/>
      <c r="BH885" s="12"/>
      <c r="BI885" s="12"/>
      <c r="BJ885" s="12"/>
    </row>
    <row r="886" spans="2:62" x14ac:dyDescent="0.25">
      <c r="C886" s="12"/>
      <c r="D886" s="12"/>
      <c r="E886" s="12"/>
      <c r="F886" s="16"/>
      <c r="G886" s="16"/>
      <c r="BA886" s="12"/>
      <c r="BB886" s="30"/>
      <c r="BC886" s="12"/>
      <c r="BD886" s="12"/>
      <c r="BE886" s="12"/>
      <c r="BF886" s="16"/>
      <c r="BG886" s="16"/>
      <c r="BH886" s="12"/>
      <c r="BI886" s="12"/>
      <c r="BJ886" s="12"/>
    </row>
    <row r="887" spans="2:62" x14ac:dyDescent="0.25">
      <c r="B887" s="12"/>
      <c r="C887" s="12"/>
      <c r="D887" s="12"/>
      <c r="E887" s="12"/>
      <c r="F887" s="16"/>
      <c r="G887" s="16"/>
      <c r="BA887" s="12"/>
      <c r="BB887" s="30"/>
      <c r="BC887" s="12"/>
      <c r="BD887" s="12"/>
      <c r="BE887" s="33"/>
      <c r="BF887" s="16"/>
      <c r="BG887" s="16"/>
      <c r="BH887" s="12"/>
      <c r="BI887" s="12"/>
      <c r="BJ887" s="12"/>
    </row>
    <row r="888" spans="2:62" x14ac:dyDescent="0.25">
      <c r="C888" s="12"/>
      <c r="D888" s="12"/>
      <c r="E888" s="12"/>
      <c r="BA888" s="12"/>
      <c r="BB888" s="30"/>
      <c r="BC888" s="33"/>
      <c r="BD888" s="33"/>
      <c r="BE888" s="33"/>
      <c r="BF888" s="29"/>
      <c r="BG888" s="29"/>
      <c r="BH888" s="12"/>
      <c r="BI888" s="12"/>
      <c r="BJ888" s="12"/>
    </row>
    <row r="889" spans="2:62" x14ac:dyDescent="0.25">
      <c r="C889" s="12"/>
      <c r="D889" s="12"/>
      <c r="BA889" s="12"/>
      <c r="BB889" s="12"/>
      <c r="BC889" s="12"/>
      <c r="BD889" s="12"/>
      <c r="BE889" s="33"/>
      <c r="BF889" s="29"/>
      <c r="BG889" s="29"/>
      <c r="BH889" s="12"/>
      <c r="BI889" s="12"/>
      <c r="BJ889" s="12"/>
    </row>
    <row r="890" spans="2:62" x14ac:dyDescent="0.25">
      <c r="BA890" s="12"/>
      <c r="BB890" s="12"/>
      <c r="BC890" s="12"/>
      <c r="BD890" s="12"/>
      <c r="BE890" s="12"/>
      <c r="BF890" s="29"/>
      <c r="BG890" s="29"/>
      <c r="BH890" s="12"/>
      <c r="BI890" s="12"/>
      <c r="BJ890" s="12"/>
    </row>
    <row r="891" spans="2:62" x14ac:dyDescent="0.25">
      <c r="B891" s="12"/>
      <c r="C891" s="12"/>
      <c r="D891" s="12"/>
      <c r="BA891" s="12"/>
      <c r="BB891" s="30"/>
      <c r="BC891" s="33"/>
      <c r="BD891" s="33"/>
      <c r="BE891" s="33"/>
      <c r="BF891" s="29"/>
      <c r="BG891" s="29"/>
      <c r="BH891" s="12"/>
      <c r="BI891" s="12"/>
      <c r="BJ891" s="12"/>
    </row>
    <row r="892" spans="2:62" x14ac:dyDescent="0.25">
      <c r="B892" s="12"/>
      <c r="C892" s="12"/>
      <c r="D892" s="12"/>
      <c r="E892" s="12"/>
      <c r="F892" s="16"/>
      <c r="G892" s="16"/>
      <c r="BA892" s="12"/>
      <c r="BB892" s="30"/>
      <c r="BC892" s="33"/>
      <c r="BD892" s="33"/>
      <c r="BE892" s="12"/>
      <c r="BF892" s="16"/>
      <c r="BG892" s="16"/>
      <c r="BH892" s="12"/>
      <c r="BI892" s="12"/>
      <c r="BJ892" s="12"/>
    </row>
    <row r="893" spans="2:62" x14ac:dyDescent="0.25">
      <c r="BA893" s="12"/>
      <c r="BB893" s="30"/>
      <c r="BC893" s="33"/>
      <c r="BD893" s="33"/>
      <c r="BE893" s="33"/>
      <c r="BF893" s="29"/>
      <c r="BG893" s="29"/>
      <c r="BH893" s="12"/>
      <c r="BI893" s="12"/>
      <c r="BJ893" s="12"/>
    </row>
    <row r="894" spans="2:62" x14ac:dyDescent="0.25">
      <c r="E894" s="12"/>
      <c r="BA894" s="12"/>
      <c r="BB894" s="30"/>
      <c r="BC894" s="33"/>
      <c r="BD894" s="33"/>
      <c r="BE894" s="33"/>
      <c r="BF894" s="29"/>
      <c r="BG894" s="29"/>
      <c r="BH894" s="12"/>
      <c r="BI894" s="12"/>
      <c r="BJ894" s="12"/>
    </row>
    <row r="895" spans="2:62" x14ac:dyDescent="0.25">
      <c r="BA895" s="12"/>
      <c r="BB895" s="30"/>
      <c r="BC895" s="33"/>
      <c r="BD895" s="33"/>
      <c r="BE895" s="33"/>
      <c r="BF895" s="29"/>
      <c r="BG895" s="29"/>
      <c r="BH895" s="12"/>
      <c r="BI895" s="12"/>
      <c r="BJ895" s="12"/>
    </row>
    <row r="896" spans="2:62" x14ac:dyDescent="0.25">
      <c r="F896" s="16"/>
      <c r="BA896" s="12"/>
      <c r="BB896" s="12"/>
      <c r="BC896" s="12"/>
      <c r="BD896" s="12"/>
      <c r="BE896" s="33"/>
      <c r="BF896" s="16"/>
      <c r="BG896" s="29"/>
      <c r="BH896" s="12"/>
      <c r="BI896" s="12"/>
      <c r="BJ896" s="12"/>
    </row>
    <row r="897" spans="2:62" x14ac:dyDescent="0.25">
      <c r="BA897" s="12"/>
      <c r="BB897" s="30"/>
      <c r="BC897" s="33"/>
      <c r="BD897" s="33"/>
      <c r="BE897" s="33"/>
      <c r="BF897" s="29"/>
      <c r="BG897" s="29"/>
      <c r="BH897" s="12"/>
      <c r="BI897" s="12"/>
      <c r="BJ897" s="12"/>
    </row>
    <row r="898" spans="2:62" x14ac:dyDescent="0.25">
      <c r="B898" s="12"/>
      <c r="C898" s="12"/>
      <c r="D898" s="12"/>
      <c r="BA898" s="12"/>
      <c r="BB898" s="30"/>
      <c r="BC898" s="33"/>
      <c r="BD898" s="33"/>
      <c r="BE898" s="33"/>
      <c r="BF898" s="29"/>
      <c r="BG898" s="29"/>
      <c r="BH898" s="12"/>
      <c r="BI898" s="12"/>
      <c r="BJ898" s="12"/>
    </row>
    <row r="899" spans="2:62" x14ac:dyDescent="0.25">
      <c r="BA899" s="12"/>
      <c r="BB899" s="30"/>
      <c r="BC899" s="33"/>
      <c r="BD899" s="33"/>
      <c r="BE899" s="33"/>
      <c r="BF899" s="29"/>
      <c r="BG899" s="29"/>
      <c r="BH899" s="12"/>
      <c r="BI899" s="12"/>
      <c r="BJ899" s="12"/>
    </row>
    <row r="900" spans="2:62" x14ac:dyDescent="0.25">
      <c r="F900" s="16"/>
      <c r="G900" s="16"/>
      <c r="BA900" s="12"/>
      <c r="BB900" s="30"/>
      <c r="BC900" s="12"/>
      <c r="BD900" s="12"/>
      <c r="BE900" s="12"/>
      <c r="BF900" s="16"/>
      <c r="BG900" s="16"/>
      <c r="BH900" s="12"/>
      <c r="BI900" s="12"/>
      <c r="BJ900" s="12"/>
    </row>
    <row r="901" spans="2:62" x14ac:dyDescent="0.25">
      <c r="F901" s="16"/>
      <c r="G901" s="16"/>
      <c r="BA901" s="12"/>
      <c r="BB901" s="12"/>
      <c r="BC901" s="12"/>
      <c r="BD901" s="12"/>
      <c r="BE901" s="12"/>
      <c r="BF901" s="16"/>
      <c r="BG901" s="16"/>
      <c r="BH901" s="12"/>
      <c r="BI901" s="12"/>
      <c r="BJ901" s="12"/>
    </row>
    <row r="902" spans="2:62" x14ac:dyDescent="0.25">
      <c r="C902" s="12"/>
      <c r="D902" s="12"/>
      <c r="E902" s="12"/>
      <c r="P902" s="28"/>
      <c r="Q902" s="28"/>
      <c r="R902" s="28"/>
      <c r="BA902" s="12"/>
      <c r="BB902" s="30"/>
      <c r="BC902" s="33"/>
      <c r="BD902" s="33"/>
      <c r="BE902" s="12"/>
      <c r="BF902" s="29"/>
      <c r="BG902" s="29"/>
      <c r="BH902" s="12"/>
      <c r="BI902" s="12"/>
      <c r="BJ902" s="12"/>
    </row>
    <row r="903" spans="2:62" x14ac:dyDescent="0.25">
      <c r="B903" s="12"/>
      <c r="C903" s="12"/>
      <c r="D903" s="12"/>
      <c r="E903" s="12"/>
      <c r="G903" s="16"/>
      <c r="BA903" s="12"/>
      <c r="BB903" s="30"/>
      <c r="BC903" s="12"/>
      <c r="BD903" s="12"/>
      <c r="BE903" s="12"/>
      <c r="BF903" s="29"/>
      <c r="BG903" s="16"/>
      <c r="BH903" s="12"/>
      <c r="BI903" s="12"/>
      <c r="BJ903" s="12"/>
    </row>
    <row r="904" spans="2:62" x14ac:dyDescent="0.25">
      <c r="E904" s="12"/>
      <c r="BA904" s="12"/>
      <c r="BB904" s="30"/>
      <c r="BC904" s="33"/>
      <c r="BD904" s="33"/>
      <c r="BE904" s="33"/>
      <c r="BF904" s="29"/>
      <c r="BG904" s="29"/>
      <c r="BH904" s="12"/>
      <c r="BI904" s="12"/>
      <c r="BJ904" s="12"/>
    </row>
    <row r="905" spans="2:62" x14ac:dyDescent="0.25">
      <c r="C905" s="12"/>
      <c r="D905" s="12"/>
      <c r="E905" s="12"/>
      <c r="BA905" s="12"/>
      <c r="BB905" s="30"/>
      <c r="BC905" s="33"/>
      <c r="BD905" s="33"/>
      <c r="BE905" s="33"/>
      <c r="BF905" s="29"/>
      <c r="BG905" s="29"/>
      <c r="BH905" s="12"/>
      <c r="BI905" s="12"/>
      <c r="BJ905" s="12"/>
    </row>
    <row r="906" spans="2:62" x14ac:dyDescent="0.25">
      <c r="BA906" s="12"/>
      <c r="BB906" s="30"/>
      <c r="BC906" s="33"/>
      <c r="BD906" s="33"/>
      <c r="BE906" s="12"/>
      <c r="BF906" s="29"/>
      <c r="BG906" s="29"/>
      <c r="BH906" s="12"/>
      <c r="BI906" s="12"/>
      <c r="BJ906" s="12"/>
    </row>
    <row r="907" spans="2:62" x14ac:dyDescent="0.25">
      <c r="F907" s="16"/>
      <c r="G907" s="16"/>
      <c r="BA907" s="12"/>
      <c r="BB907" s="30"/>
      <c r="BC907" s="12"/>
      <c r="BD907" s="12"/>
      <c r="BE907" s="33"/>
      <c r="BF907" s="16"/>
      <c r="BG907" s="16"/>
      <c r="BH907" s="12"/>
      <c r="BI907" s="12"/>
      <c r="BJ907" s="12"/>
    </row>
    <row r="908" spans="2:62" x14ac:dyDescent="0.25">
      <c r="E908" s="12"/>
      <c r="BA908" s="12"/>
      <c r="BB908" s="30"/>
      <c r="BC908" s="33"/>
      <c r="BD908" s="33"/>
      <c r="BE908" s="33"/>
      <c r="BF908" s="29"/>
      <c r="BG908" s="29"/>
      <c r="BH908" s="12"/>
      <c r="BI908" s="12"/>
      <c r="BJ908" s="12"/>
    </row>
    <row r="909" spans="2:62" x14ac:dyDescent="0.25">
      <c r="C909" s="12"/>
      <c r="D909" s="12"/>
      <c r="F909" s="16"/>
      <c r="G909" s="16"/>
      <c r="BA909" s="12"/>
      <c r="BB909" s="12"/>
      <c r="BC909" s="12"/>
      <c r="BD909" s="12"/>
      <c r="BE909" s="33"/>
      <c r="BF909" s="16"/>
      <c r="BG909" s="16"/>
      <c r="BH909" s="12"/>
      <c r="BI909" s="12"/>
      <c r="BJ909" s="12"/>
    </row>
    <row r="910" spans="2:62" x14ac:dyDescent="0.25">
      <c r="BA910" s="12"/>
      <c r="BB910" s="12"/>
      <c r="BC910" s="12"/>
      <c r="BD910" s="12"/>
      <c r="BE910" s="33"/>
      <c r="BF910" s="29"/>
      <c r="BG910" s="29"/>
      <c r="BH910" s="12"/>
      <c r="BI910" s="12"/>
      <c r="BJ910" s="12"/>
    </row>
    <row r="911" spans="2:62" x14ac:dyDescent="0.25">
      <c r="B911" s="12"/>
      <c r="C911" s="12"/>
      <c r="D911" s="12"/>
      <c r="BA911" s="12"/>
      <c r="BB911" s="30"/>
      <c r="BC911" s="33"/>
      <c r="BD911" s="33"/>
      <c r="BE911" s="33"/>
      <c r="BF911" s="29"/>
      <c r="BG911" s="29"/>
      <c r="BH911" s="12"/>
      <c r="BI911" s="12"/>
      <c r="BJ911" s="12"/>
    </row>
    <row r="912" spans="2:62" x14ac:dyDescent="0.25">
      <c r="B912" s="12"/>
      <c r="C912" s="12"/>
      <c r="D912" s="12"/>
      <c r="BA912" s="12"/>
      <c r="BB912" s="12"/>
      <c r="BC912" s="12"/>
      <c r="BD912" s="12"/>
      <c r="BE912" s="12"/>
      <c r="BF912" s="29"/>
      <c r="BG912" s="29"/>
      <c r="BH912" s="12"/>
      <c r="BI912" s="12"/>
      <c r="BJ912" s="12"/>
    </row>
    <row r="913" spans="2:62" x14ac:dyDescent="0.25">
      <c r="BA913" s="12"/>
      <c r="BB913" s="30"/>
      <c r="BC913" s="33"/>
      <c r="BD913" s="33"/>
      <c r="BE913" s="33"/>
      <c r="BF913" s="29"/>
      <c r="BG913" s="29"/>
      <c r="BH913" s="12"/>
      <c r="BI913" s="12"/>
      <c r="BJ913" s="12"/>
    </row>
    <row r="914" spans="2:62" x14ac:dyDescent="0.25">
      <c r="B914" s="12"/>
      <c r="C914" s="12"/>
      <c r="D914" s="12"/>
      <c r="E914" s="12"/>
      <c r="F914" s="16"/>
      <c r="G914" s="16"/>
      <c r="BA914" s="12"/>
      <c r="BB914" s="12"/>
      <c r="BC914" s="12"/>
      <c r="BD914" s="12"/>
      <c r="BE914" s="12"/>
      <c r="BF914" s="16"/>
      <c r="BG914" s="16"/>
      <c r="BH914" s="12"/>
      <c r="BI914" s="12"/>
      <c r="BJ914" s="12"/>
    </row>
    <row r="915" spans="2:62" x14ac:dyDescent="0.25">
      <c r="BA915" s="12"/>
      <c r="BB915" s="30"/>
      <c r="BC915" s="12"/>
      <c r="BD915" s="33"/>
      <c r="BE915" s="33"/>
      <c r="BF915" s="29"/>
      <c r="BG915" s="29"/>
      <c r="BH915" s="12"/>
      <c r="BI915" s="12"/>
      <c r="BJ915" s="12"/>
    </row>
    <row r="916" spans="2:62" x14ac:dyDescent="0.25">
      <c r="B916" s="12"/>
      <c r="C916" s="12"/>
      <c r="D916" s="12"/>
      <c r="E916" s="12"/>
      <c r="BA916" s="12"/>
      <c r="BB916" s="30"/>
      <c r="BC916" s="12"/>
      <c r="BD916" s="33"/>
      <c r="BE916" s="33"/>
      <c r="BF916" s="29"/>
      <c r="BG916" s="29"/>
      <c r="BH916" s="12"/>
      <c r="BI916" s="12"/>
      <c r="BJ916" s="12"/>
    </row>
    <row r="917" spans="2:62" x14ac:dyDescent="0.25">
      <c r="C917" s="12"/>
      <c r="BA917" s="12"/>
      <c r="BB917" s="30"/>
      <c r="BC917" s="33"/>
      <c r="BD917" s="33"/>
      <c r="BE917" s="33"/>
      <c r="BF917" s="29"/>
      <c r="BG917" s="29"/>
      <c r="BH917" s="12"/>
      <c r="BI917" s="12"/>
      <c r="BJ917" s="12"/>
    </row>
    <row r="918" spans="2:62" x14ac:dyDescent="0.25">
      <c r="C918" s="12"/>
      <c r="F918" s="16"/>
      <c r="BA918" s="12"/>
      <c r="BB918" s="12"/>
      <c r="BC918" s="12"/>
      <c r="BD918" s="12"/>
      <c r="BE918" s="12"/>
      <c r="BF918" s="16"/>
      <c r="BG918" s="29"/>
      <c r="BH918" s="12"/>
      <c r="BI918" s="12"/>
      <c r="BJ918" s="12"/>
    </row>
    <row r="919" spans="2:62" x14ac:dyDescent="0.25">
      <c r="F919" s="16"/>
      <c r="G919" s="16"/>
      <c r="BA919" s="12"/>
      <c r="BB919" s="30"/>
      <c r="BC919" s="12"/>
      <c r="BD919" s="12"/>
      <c r="BE919" s="12"/>
      <c r="BF919" s="16"/>
      <c r="BG919" s="16"/>
      <c r="BH919" s="12"/>
      <c r="BI919" s="12"/>
      <c r="BJ919" s="12"/>
    </row>
    <row r="920" spans="2:62" x14ac:dyDescent="0.25">
      <c r="B920" s="12"/>
      <c r="C920" s="12"/>
      <c r="D920" s="12"/>
      <c r="E920" s="12"/>
      <c r="F920" s="16"/>
      <c r="G920" s="16"/>
      <c r="BA920" s="12"/>
      <c r="BB920" s="30"/>
      <c r="BC920" s="12"/>
      <c r="BD920" s="12"/>
      <c r="BE920" s="12"/>
      <c r="BF920" s="16"/>
      <c r="BG920" s="16"/>
      <c r="BH920" s="12"/>
      <c r="BI920" s="12"/>
      <c r="BJ920" s="12"/>
    </row>
    <row r="921" spans="2:62" x14ac:dyDescent="0.25">
      <c r="C921" s="12"/>
      <c r="D921" s="12"/>
      <c r="E921" s="12"/>
      <c r="F921" s="16"/>
      <c r="G921" s="16"/>
      <c r="BA921" s="12"/>
      <c r="BB921" s="12"/>
      <c r="BC921" s="12"/>
      <c r="BD921" s="12"/>
      <c r="BE921" s="12"/>
      <c r="BF921" s="16"/>
      <c r="BG921" s="16"/>
      <c r="BH921" s="12"/>
      <c r="BI921" s="12"/>
      <c r="BJ921" s="12"/>
    </row>
    <row r="922" spans="2:62" x14ac:dyDescent="0.25">
      <c r="C922" s="12"/>
      <c r="D922" s="12"/>
      <c r="E922" s="12"/>
      <c r="BA922" s="12"/>
      <c r="BB922" s="30"/>
      <c r="BC922" s="33"/>
      <c r="BD922" s="33"/>
      <c r="BE922" s="33"/>
      <c r="BF922" s="29"/>
      <c r="BG922" s="29"/>
      <c r="BH922" s="12"/>
      <c r="BI922" s="12"/>
      <c r="BJ922" s="12"/>
    </row>
    <row r="923" spans="2:62" x14ac:dyDescent="0.25">
      <c r="B923" s="12"/>
      <c r="C923" s="12"/>
      <c r="D923" s="12"/>
      <c r="E923" s="12"/>
      <c r="BA923" s="12"/>
      <c r="BB923" s="30"/>
      <c r="BC923" s="33"/>
      <c r="BD923" s="33"/>
      <c r="BE923" s="33"/>
      <c r="BF923" s="29"/>
      <c r="BG923" s="29"/>
      <c r="BH923" s="12"/>
      <c r="BI923" s="12"/>
      <c r="BJ923" s="12"/>
    </row>
    <row r="924" spans="2:62" x14ac:dyDescent="0.25">
      <c r="BA924" s="12"/>
      <c r="BB924" s="30"/>
      <c r="BC924" s="33"/>
      <c r="BD924" s="33"/>
      <c r="BE924" s="33"/>
      <c r="BF924" s="29"/>
      <c r="BG924" s="29"/>
      <c r="BH924" s="12"/>
      <c r="BI924" s="12"/>
      <c r="BJ924" s="12"/>
    </row>
    <row r="925" spans="2:62" x14ac:dyDescent="0.25">
      <c r="BA925" s="12"/>
      <c r="BB925" s="30"/>
      <c r="BC925" s="33"/>
      <c r="BD925" s="33"/>
      <c r="BE925" s="33"/>
      <c r="BF925" s="29"/>
      <c r="BG925" s="29"/>
      <c r="BH925" s="12"/>
      <c r="BI925" s="12"/>
      <c r="BJ925" s="12"/>
    </row>
    <row r="926" spans="2:62" x14ac:dyDescent="0.25">
      <c r="F926" s="16"/>
      <c r="G926" s="16"/>
      <c r="BA926" s="12"/>
      <c r="BB926" s="30"/>
      <c r="BC926" s="12"/>
      <c r="BD926" s="12"/>
      <c r="BE926" s="12"/>
      <c r="BF926" s="16"/>
      <c r="BG926" s="16"/>
      <c r="BH926" s="12"/>
      <c r="BI926" s="12"/>
      <c r="BJ926" s="12"/>
    </row>
    <row r="927" spans="2:62" x14ac:dyDescent="0.25">
      <c r="BA927" s="12"/>
      <c r="BB927" s="30"/>
      <c r="BC927" s="33"/>
      <c r="BD927" s="33"/>
      <c r="BE927" s="33"/>
      <c r="BF927" s="29"/>
      <c r="BG927" s="29"/>
      <c r="BH927" s="12"/>
      <c r="BI927" s="12"/>
      <c r="BJ927" s="12"/>
    </row>
    <row r="928" spans="2:62" x14ac:dyDescent="0.25">
      <c r="C928" s="12"/>
      <c r="D928" s="12"/>
      <c r="E928" s="12"/>
      <c r="F928" s="16"/>
      <c r="BA928" s="12"/>
      <c r="BB928" s="12"/>
      <c r="BC928" s="12"/>
      <c r="BD928" s="12"/>
      <c r="BE928" s="12"/>
      <c r="BF928" s="16"/>
      <c r="BG928" s="29"/>
      <c r="BH928" s="12"/>
      <c r="BI928" s="12"/>
      <c r="BJ928" s="12"/>
    </row>
    <row r="929" spans="2:62" x14ac:dyDescent="0.25">
      <c r="BA929" s="12"/>
      <c r="BB929" s="30"/>
      <c r="BC929" s="33"/>
      <c r="BD929" s="33"/>
      <c r="BE929" s="33"/>
      <c r="BF929" s="29"/>
      <c r="BG929" s="29"/>
      <c r="BH929" s="12"/>
      <c r="BI929" s="12"/>
      <c r="BJ929" s="12"/>
    </row>
    <row r="930" spans="2:62" x14ac:dyDescent="0.25">
      <c r="B930" s="12"/>
      <c r="C930" s="12"/>
      <c r="D930" s="12"/>
      <c r="E930" s="12"/>
      <c r="BA930" s="12"/>
      <c r="BB930" s="30"/>
      <c r="BC930" s="33"/>
      <c r="BD930" s="33"/>
      <c r="BE930" s="33"/>
      <c r="BF930" s="29"/>
      <c r="BG930" s="29"/>
      <c r="BH930" s="12"/>
      <c r="BI930" s="12"/>
      <c r="BJ930" s="12"/>
    </row>
    <row r="931" spans="2:62" x14ac:dyDescent="0.25">
      <c r="BA931" s="12"/>
      <c r="BB931" s="30"/>
      <c r="BC931" s="12"/>
      <c r="BD931" s="12"/>
      <c r="BE931" s="33"/>
      <c r="BF931" s="29"/>
      <c r="BG931" s="29"/>
      <c r="BH931" s="12"/>
      <c r="BI931" s="12"/>
      <c r="BJ931" s="12"/>
    </row>
    <row r="932" spans="2:62" x14ac:dyDescent="0.25">
      <c r="F932" s="16"/>
      <c r="G932" s="16"/>
      <c r="BA932" s="12"/>
      <c r="BB932" s="12"/>
      <c r="BC932" s="12"/>
      <c r="BD932" s="12"/>
      <c r="BE932" s="12"/>
      <c r="BF932" s="16"/>
      <c r="BG932" s="16"/>
      <c r="BH932" s="12"/>
      <c r="BI932" s="12"/>
      <c r="BJ932" s="12"/>
    </row>
    <row r="933" spans="2:62" x14ac:dyDescent="0.25">
      <c r="C933" s="12"/>
      <c r="D933" s="12"/>
      <c r="BA933" s="12"/>
      <c r="BB933" s="30"/>
      <c r="BC933" s="33"/>
      <c r="BD933" s="33"/>
      <c r="BE933" s="33"/>
      <c r="BF933" s="29"/>
      <c r="BG933" s="29"/>
      <c r="BH933" s="12"/>
      <c r="BI933" s="12"/>
      <c r="BJ933" s="12"/>
    </row>
    <row r="934" spans="2:62" x14ac:dyDescent="0.25">
      <c r="B934" s="12"/>
      <c r="C934" s="12"/>
      <c r="D934" s="12"/>
      <c r="E934" s="12"/>
      <c r="BA934" s="12"/>
      <c r="BB934" s="30"/>
      <c r="BC934" s="33"/>
      <c r="BD934" s="33"/>
      <c r="BE934" s="33"/>
      <c r="BF934" s="29"/>
      <c r="BG934" s="29"/>
      <c r="BH934" s="12"/>
      <c r="BI934" s="12"/>
      <c r="BJ934" s="12"/>
    </row>
    <row r="935" spans="2:62" x14ac:dyDescent="0.25">
      <c r="BA935" s="12"/>
      <c r="BB935" s="30"/>
      <c r="BC935" s="33"/>
      <c r="BD935" s="33"/>
      <c r="BE935" s="33"/>
      <c r="BF935" s="29"/>
      <c r="BG935" s="29"/>
      <c r="BH935" s="12"/>
      <c r="BI935" s="12"/>
      <c r="BJ935" s="12"/>
    </row>
    <row r="936" spans="2:62" x14ac:dyDescent="0.25">
      <c r="BA936" s="12"/>
      <c r="BB936" s="30"/>
      <c r="BC936" s="33"/>
      <c r="BD936" s="33"/>
      <c r="BE936" s="33"/>
      <c r="BF936" s="29"/>
      <c r="BG936" s="29"/>
      <c r="BH936" s="12"/>
      <c r="BI936" s="12"/>
      <c r="BJ936" s="12"/>
    </row>
    <row r="937" spans="2:62" x14ac:dyDescent="0.25">
      <c r="F937" s="16"/>
      <c r="BA937" s="12"/>
      <c r="BB937" s="12"/>
      <c r="BC937" s="12"/>
      <c r="BD937" s="12"/>
      <c r="BE937" s="33"/>
      <c r="BF937" s="16"/>
      <c r="BG937" s="29"/>
      <c r="BH937" s="12"/>
      <c r="BI937" s="12"/>
      <c r="BJ937" s="12"/>
    </row>
    <row r="938" spans="2:62" x14ac:dyDescent="0.25">
      <c r="BA938" s="12"/>
      <c r="BB938" s="30"/>
      <c r="BC938" s="33"/>
      <c r="BD938" s="33"/>
      <c r="BE938" s="33"/>
      <c r="BF938" s="29"/>
      <c r="BG938" s="29"/>
      <c r="BH938" s="12"/>
      <c r="BI938" s="12"/>
      <c r="BJ938" s="12"/>
    </row>
    <row r="939" spans="2:62" x14ac:dyDescent="0.25">
      <c r="B939" s="12"/>
      <c r="C939" s="12"/>
      <c r="D939" s="12"/>
      <c r="F939" s="16"/>
      <c r="G939" s="16"/>
      <c r="BA939" s="12"/>
      <c r="BB939" s="30"/>
      <c r="BC939" s="12"/>
      <c r="BD939" s="12"/>
      <c r="BE939" s="12"/>
      <c r="BF939" s="16"/>
      <c r="BG939" s="16"/>
      <c r="BH939" s="12"/>
      <c r="BI939" s="12"/>
      <c r="BJ939" s="12"/>
    </row>
    <row r="940" spans="2:62" x14ac:dyDescent="0.25">
      <c r="F940" s="16"/>
      <c r="G940" s="16"/>
      <c r="BA940" s="12"/>
      <c r="BB940" s="30"/>
      <c r="BC940" s="12"/>
      <c r="BD940" s="12"/>
      <c r="BE940" s="12"/>
      <c r="BF940" s="16"/>
      <c r="BG940" s="16"/>
      <c r="BH940" s="12"/>
      <c r="BI940" s="12"/>
      <c r="BJ940" s="12"/>
    </row>
    <row r="941" spans="2:62" x14ac:dyDescent="0.25">
      <c r="C941" s="12"/>
      <c r="D941" s="12"/>
      <c r="E941" s="12"/>
      <c r="BA941" s="12"/>
      <c r="BB941" s="30"/>
      <c r="BC941" s="33"/>
      <c r="BD941" s="33"/>
      <c r="BE941" s="33"/>
      <c r="BF941" s="29"/>
      <c r="BG941" s="29"/>
      <c r="BH941" s="12"/>
      <c r="BI941" s="12"/>
      <c r="BJ941" s="12"/>
    </row>
    <row r="942" spans="2:62" x14ac:dyDescent="0.25">
      <c r="C942" s="12"/>
      <c r="D942" s="12"/>
      <c r="E942" s="12"/>
      <c r="BA942" s="12"/>
      <c r="BB942" s="30"/>
      <c r="BC942" s="33"/>
      <c r="BD942" s="33"/>
      <c r="BE942" s="33"/>
      <c r="BF942" s="29"/>
      <c r="BG942" s="29"/>
      <c r="BH942" s="12"/>
      <c r="BI942" s="12"/>
      <c r="BJ942" s="12"/>
    </row>
    <row r="943" spans="2:62" x14ac:dyDescent="0.25">
      <c r="F943" s="16"/>
      <c r="G943" s="16"/>
      <c r="BA943" s="12"/>
      <c r="BB943" s="30"/>
      <c r="BC943" s="12"/>
      <c r="BD943" s="12"/>
      <c r="BE943" s="12"/>
      <c r="BF943" s="16"/>
      <c r="BG943" s="16"/>
      <c r="BH943" s="12"/>
      <c r="BI943" s="12"/>
      <c r="BJ943" s="12"/>
    </row>
    <row r="944" spans="2:62" x14ac:dyDescent="0.25">
      <c r="F944" s="16"/>
      <c r="G944" s="16"/>
      <c r="BA944" s="12"/>
      <c r="BB944" s="30"/>
      <c r="BC944" s="12"/>
      <c r="BD944" s="12"/>
      <c r="BE944" s="12"/>
      <c r="BF944" s="16"/>
      <c r="BG944" s="16"/>
      <c r="BH944" s="12"/>
      <c r="BI944" s="12"/>
      <c r="BJ944" s="12"/>
    </row>
    <row r="945" spans="2:62" x14ac:dyDescent="0.25">
      <c r="C945" s="12"/>
      <c r="D945" s="12"/>
      <c r="E945" s="12"/>
      <c r="F945" s="16"/>
      <c r="BA945" s="12"/>
      <c r="BB945" s="30"/>
      <c r="BC945" s="12"/>
      <c r="BD945" s="12"/>
      <c r="BE945" s="12"/>
      <c r="BF945" s="16"/>
      <c r="BG945" s="29"/>
      <c r="BH945" s="12"/>
      <c r="BI945" s="12"/>
      <c r="BJ945" s="12"/>
    </row>
    <row r="946" spans="2:62" x14ac:dyDescent="0.25">
      <c r="C946" s="12"/>
      <c r="D946" s="12"/>
      <c r="E946" s="12"/>
      <c r="BA946" s="12"/>
      <c r="BB946" s="30"/>
      <c r="BC946" s="33"/>
      <c r="BD946" s="33"/>
      <c r="BE946" s="33"/>
      <c r="BF946" s="29"/>
      <c r="BG946" s="29"/>
      <c r="BH946" s="12"/>
      <c r="BI946" s="12"/>
      <c r="BJ946" s="12"/>
    </row>
    <row r="947" spans="2:62" x14ac:dyDescent="0.25">
      <c r="C947" s="12"/>
      <c r="D947" s="12"/>
      <c r="E947" s="12"/>
      <c r="F947" s="16"/>
      <c r="G947" s="16"/>
      <c r="BA947" s="12"/>
      <c r="BB947" s="30"/>
      <c r="BC947" s="12"/>
      <c r="BD947" s="12"/>
      <c r="BE947" s="12"/>
      <c r="BF947" s="16"/>
      <c r="BG947" s="16"/>
      <c r="BH947" s="12"/>
      <c r="BI947" s="12"/>
      <c r="BJ947" s="12"/>
    </row>
    <row r="948" spans="2:62" x14ac:dyDescent="0.25">
      <c r="BA948" s="12"/>
      <c r="BB948" s="12"/>
      <c r="BC948" s="12"/>
      <c r="BD948" s="12"/>
      <c r="BE948" s="33"/>
      <c r="BF948" s="29"/>
      <c r="BG948" s="29"/>
      <c r="BH948" s="12"/>
      <c r="BI948" s="12"/>
      <c r="BJ948" s="12"/>
    </row>
    <row r="949" spans="2:62" x14ac:dyDescent="0.25">
      <c r="C949" s="12"/>
      <c r="D949" s="12"/>
      <c r="E949" s="12"/>
      <c r="F949" s="16"/>
      <c r="G949" s="16"/>
      <c r="BA949" s="12"/>
      <c r="BB949" s="30"/>
      <c r="BC949" s="12"/>
      <c r="BD949" s="33"/>
      <c r="BE949" s="12"/>
      <c r="BF949" s="16"/>
      <c r="BG949" s="16"/>
      <c r="BH949" s="12"/>
      <c r="BI949" s="12"/>
      <c r="BJ949" s="12"/>
    </row>
    <row r="950" spans="2:62" x14ac:dyDescent="0.25">
      <c r="B950" s="12"/>
      <c r="C950" s="12"/>
      <c r="D950" s="12"/>
      <c r="F950" s="16"/>
      <c r="G950" s="16"/>
      <c r="BA950" s="12"/>
      <c r="BB950" s="30"/>
      <c r="BC950" s="12"/>
      <c r="BD950" s="12"/>
      <c r="BE950" s="12"/>
      <c r="BF950" s="16"/>
      <c r="BG950" s="16"/>
      <c r="BH950" s="12"/>
      <c r="BI950" s="12"/>
      <c r="BJ950" s="12"/>
    </row>
    <row r="951" spans="2:62" x14ac:dyDescent="0.25">
      <c r="C951" s="12"/>
      <c r="E951" s="12"/>
      <c r="BA951" s="12"/>
      <c r="BB951" s="30"/>
      <c r="BC951" s="33"/>
      <c r="BD951" s="33"/>
      <c r="BE951" s="33"/>
      <c r="BF951" s="29"/>
      <c r="BG951" s="29"/>
      <c r="BH951" s="12"/>
      <c r="BI951" s="12"/>
      <c r="BJ951" s="12"/>
    </row>
    <row r="952" spans="2:62" x14ac:dyDescent="0.25">
      <c r="C952" s="12"/>
      <c r="D952" s="12"/>
      <c r="E952" s="12"/>
      <c r="F952" s="16"/>
      <c r="G952" s="16"/>
      <c r="BA952" s="12"/>
      <c r="BB952" s="30"/>
      <c r="BC952" s="12"/>
      <c r="BD952" s="12"/>
      <c r="BE952" s="12"/>
      <c r="BF952" s="16"/>
      <c r="BG952" s="16"/>
      <c r="BH952" s="12"/>
      <c r="BI952" s="12"/>
      <c r="BJ952" s="12"/>
    </row>
    <row r="953" spans="2:62" x14ac:dyDescent="0.25">
      <c r="F953" s="16"/>
      <c r="G953" s="16"/>
      <c r="BA953" s="12"/>
      <c r="BB953" s="30"/>
      <c r="BC953" s="12"/>
      <c r="BD953" s="12"/>
      <c r="BE953" s="33"/>
      <c r="BF953" s="16"/>
      <c r="BG953" s="16"/>
      <c r="BH953" s="12"/>
      <c r="BI953" s="12"/>
      <c r="BJ953" s="12"/>
    </row>
    <row r="954" spans="2:62" x14ac:dyDescent="0.25">
      <c r="C954" s="12"/>
      <c r="D954" s="12"/>
      <c r="E954" s="12"/>
      <c r="F954" s="16"/>
      <c r="G954" s="16"/>
      <c r="BA954" s="12"/>
      <c r="BB954" s="12"/>
      <c r="BC954" s="12"/>
      <c r="BD954" s="12"/>
      <c r="BE954" s="12"/>
      <c r="BF954" s="16"/>
      <c r="BG954" s="16"/>
      <c r="BH954" s="12"/>
      <c r="BI954" s="12"/>
      <c r="BJ954" s="12"/>
    </row>
    <row r="955" spans="2:62" x14ac:dyDescent="0.25">
      <c r="C955" s="12"/>
      <c r="D955" s="12"/>
      <c r="F955" s="16"/>
      <c r="BA955" s="12"/>
      <c r="BB955" s="12"/>
      <c r="BC955" s="12"/>
      <c r="BD955" s="12"/>
      <c r="BE955" s="12"/>
      <c r="BF955" s="16"/>
      <c r="BG955" s="29"/>
      <c r="BH955" s="12"/>
      <c r="BI955" s="12"/>
      <c r="BJ955" s="12"/>
    </row>
    <row r="956" spans="2:62" x14ac:dyDescent="0.25">
      <c r="B956" s="12"/>
      <c r="C956" s="12"/>
      <c r="D956" s="12"/>
      <c r="E956" s="12"/>
      <c r="F956" s="16"/>
      <c r="G956" s="16"/>
      <c r="BA956" s="12"/>
      <c r="BB956" s="12"/>
      <c r="BC956" s="12"/>
      <c r="BD956" s="12"/>
      <c r="BE956" s="12"/>
      <c r="BF956" s="16"/>
      <c r="BG956" s="16"/>
      <c r="BH956" s="12"/>
      <c r="BI956" s="12"/>
      <c r="BJ956" s="12"/>
    </row>
    <row r="957" spans="2:62" x14ac:dyDescent="0.25">
      <c r="B957" s="12"/>
      <c r="C957" s="12"/>
      <c r="D957" s="12"/>
      <c r="E957" s="12"/>
      <c r="F957" s="16"/>
      <c r="BA957" s="12"/>
      <c r="BB957" s="12"/>
      <c r="BC957" s="12"/>
      <c r="BD957" s="12"/>
      <c r="BE957" s="12"/>
      <c r="BF957" s="16"/>
      <c r="BG957" s="29"/>
      <c r="BH957" s="12"/>
      <c r="BI957" s="12"/>
      <c r="BJ957" s="12"/>
    </row>
    <row r="958" spans="2:62" x14ac:dyDescent="0.25">
      <c r="B958" s="12"/>
      <c r="C958" s="12"/>
      <c r="D958" s="12"/>
      <c r="E958" s="12"/>
      <c r="BA958" s="12"/>
      <c r="BB958" s="12"/>
      <c r="BC958" s="12"/>
      <c r="BD958" s="12"/>
      <c r="BE958" s="12"/>
      <c r="BF958" s="29"/>
      <c r="BG958" s="29"/>
      <c r="BH958" s="12"/>
      <c r="BI958" s="12"/>
      <c r="BJ958" s="12"/>
    </row>
    <row r="959" spans="2:62" x14ac:dyDescent="0.25">
      <c r="B959" s="12"/>
      <c r="C959" s="12"/>
      <c r="D959" s="12"/>
      <c r="E959" s="12"/>
      <c r="BA959" s="12"/>
      <c r="BB959" s="12"/>
      <c r="BC959" s="33"/>
      <c r="BD959" s="33"/>
      <c r="BE959" s="12"/>
      <c r="BF959" s="29"/>
      <c r="BG959" s="29"/>
      <c r="BH959" s="12"/>
      <c r="BI959" s="12"/>
      <c r="BJ959" s="12"/>
    </row>
    <row r="960" spans="2:62" x14ac:dyDescent="0.25">
      <c r="B960" s="12"/>
      <c r="C960" s="12"/>
      <c r="D960" s="12"/>
      <c r="E960" s="12"/>
      <c r="BA960" s="12"/>
      <c r="BB960" s="30"/>
      <c r="BC960" s="33"/>
      <c r="BD960" s="33"/>
      <c r="BE960" s="33"/>
      <c r="BF960" s="29"/>
      <c r="BG960" s="29"/>
      <c r="BH960" s="12"/>
      <c r="BI960" s="12"/>
      <c r="BJ960" s="12"/>
    </row>
    <row r="961" spans="2:62" x14ac:dyDescent="0.25">
      <c r="B961" s="12"/>
      <c r="E961" s="12"/>
      <c r="BA961" s="12"/>
      <c r="BB961" s="30"/>
      <c r="BC961" s="35"/>
      <c r="BD961" s="33"/>
      <c r="BE961" s="33"/>
      <c r="BF961" s="29"/>
      <c r="BG961" s="29"/>
      <c r="BH961" s="12"/>
      <c r="BI961" s="12"/>
      <c r="BJ961" s="12"/>
    </row>
    <row r="962" spans="2:62" x14ac:dyDescent="0.25">
      <c r="BA962" s="12"/>
      <c r="BB962" s="12"/>
      <c r="BC962" s="12"/>
      <c r="BD962" s="12"/>
      <c r="BE962" s="12"/>
      <c r="BF962" s="29"/>
      <c r="BG962" s="29"/>
      <c r="BH962" s="12"/>
      <c r="BI962" s="12"/>
      <c r="BJ962" s="12"/>
    </row>
    <row r="963" spans="2:62" x14ac:dyDescent="0.25">
      <c r="F963" s="16"/>
      <c r="G963" s="16"/>
      <c r="BA963" s="12"/>
      <c r="BB963" s="12"/>
      <c r="BC963" s="12"/>
      <c r="BD963" s="12"/>
      <c r="BE963" s="12"/>
      <c r="BF963" s="16"/>
      <c r="BG963" s="16"/>
      <c r="BH963" s="12"/>
      <c r="BI963" s="12"/>
      <c r="BJ963" s="12"/>
    </row>
    <row r="964" spans="2:62" x14ac:dyDescent="0.25">
      <c r="B964" s="12"/>
      <c r="C964" s="12"/>
      <c r="D964" s="12"/>
      <c r="E964" s="12"/>
      <c r="BA964" s="12"/>
      <c r="BB964" s="30"/>
      <c r="BC964" s="35"/>
      <c r="BD964" s="33"/>
      <c r="BE964" s="33"/>
      <c r="BF964" s="29"/>
      <c r="BG964" s="29"/>
      <c r="BH964" s="12"/>
      <c r="BI964" s="12"/>
      <c r="BJ964" s="12"/>
    </row>
    <row r="965" spans="2:62" x14ac:dyDescent="0.25">
      <c r="B965" s="12"/>
      <c r="C965" s="12"/>
      <c r="D965" s="12"/>
      <c r="E965" s="12"/>
      <c r="BA965" s="12"/>
      <c r="BB965" s="30"/>
      <c r="BC965" s="35"/>
      <c r="BD965" s="33"/>
      <c r="BE965" s="33"/>
      <c r="BF965" s="29"/>
      <c r="BG965" s="29"/>
      <c r="BH965" s="12"/>
      <c r="BI965" s="12"/>
      <c r="BJ965" s="12"/>
    </row>
    <row r="966" spans="2:62" x14ac:dyDescent="0.25">
      <c r="G966" s="16"/>
      <c r="BA966" s="12"/>
      <c r="BB966" s="12"/>
      <c r="BC966" s="12"/>
      <c r="BD966" s="12"/>
      <c r="BE966" s="33"/>
      <c r="BF966" s="29"/>
      <c r="BG966" s="16"/>
      <c r="BH966" s="12"/>
      <c r="BI966" s="12"/>
      <c r="BJ966" s="12"/>
    </row>
    <row r="967" spans="2:62" x14ac:dyDescent="0.25">
      <c r="F967" s="16"/>
      <c r="G967" s="16"/>
      <c r="BA967" s="12"/>
      <c r="BB967" s="12"/>
      <c r="BC967" s="12"/>
      <c r="BD967" s="12"/>
      <c r="BE967" s="12"/>
      <c r="BF967" s="16"/>
      <c r="BG967" s="16"/>
      <c r="BH967" s="12"/>
      <c r="BI967" s="12"/>
      <c r="BJ967" s="12"/>
    </row>
    <row r="968" spans="2:62" x14ac:dyDescent="0.25">
      <c r="B968" s="12"/>
      <c r="C968" s="12"/>
      <c r="D968" s="12"/>
      <c r="F968" s="16"/>
      <c r="G968" s="16"/>
      <c r="BA968" s="12"/>
      <c r="BB968" s="12"/>
      <c r="BC968" s="12"/>
      <c r="BD968" s="12"/>
      <c r="BE968" s="33"/>
      <c r="BF968" s="16"/>
      <c r="BG968" s="16"/>
      <c r="BH968" s="12"/>
      <c r="BI968" s="12"/>
      <c r="BJ968" s="12"/>
    </row>
    <row r="969" spans="2:62" x14ac:dyDescent="0.25">
      <c r="B969" s="12"/>
      <c r="C969" s="12"/>
      <c r="D969" s="12"/>
      <c r="E969" s="12"/>
      <c r="F969" s="16"/>
      <c r="G969" s="16"/>
      <c r="BA969" s="12"/>
      <c r="BB969" s="12"/>
      <c r="BC969" s="12"/>
      <c r="BD969" s="12"/>
      <c r="BE969" s="12"/>
      <c r="BF969" s="16"/>
      <c r="BG969" s="16"/>
      <c r="BH969" s="12"/>
      <c r="BI969" s="12"/>
      <c r="BJ969" s="12"/>
    </row>
    <row r="970" spans="2:62" x14ac:dyDescent="0.25">
      <c r="B970" s="12"/>
      <c r="C970" s="12"/>
      <c r="D970" s="12"/>
      <c r="F970" s="16"/>
      <c r="G970" s="16"/>
      <c r="BA970" s="12"/>
      <c r="BB970" s="30"/>
      <c r="BC970" s="34"/>
      <c r="BD970" s="33"/>
      <c r="BE970" s="12"/>
      <c r="BF970" s="16"/>
      <c r="BG970" s="16"/>
      <c r="BH970" s="12"/>
      <c r="BI970" s="12"/>
      <c r="BJ970" s="12"/>
    </row>
    <row r="971" spans="2:62" x14ac:dyDescent="0.25">
      <c r="B971" s="12"/>
      <c r="C971" s="12"/>
      <c r="D971" s="12"/>
      <c r="E971" s="12"/>
      <c r="BA971" s="12"/>
      <c r="BB971" s="12"/>
      <c r="BC971" s="12"/>
      <c r="BD971" s="12"/>
      <c r="BE971" s="12"/>
      <c r="BF971" s="29"/>
      <c r="BG971" s="29"/>
      <c r="BH971" s="12"/>
      <c r="BI971" s="12"/>
      <c r="BJ971" s="12"/>
    </row>
    <row r="972" spans="2:62" x14ac:dyDescent="0.25">
      <c r="C972" s="12"/>
      <c r="E972" s="12"/>
      <c r="BA972" s="12"/>
      <c r="BB972" s="12"/>
      <c r="BC972" s="12"/>
      <c r="BD972" s="12"/>
      <c r="BE972" s="12"/>
      <c r="BF972" s="29"/>
      <c r="BG972" s="29"/>
      <c r="BH972" s="12"/>
      <c r="BI972" s="12"/>
      <c r="BJ972" s="12"/>
    </row>
    <row r="973" spans="2:62" x14ac:dyDescent="0.25">
      <c r="B973" s="12"/>
      <c r="C973" s="12"/>
      <c r="D973" s="12"/>
      <c r="E973" s="12"/>
      <c r="BA973" s="12"/>
      <c r="BB973" s="30"/>
      <c r="BC973" s="35"/>
      <c r="BD973" s="33"/>
      <c r="BE973" s="33"/>
      <c r="BF973" s="29"/>
      <c r="BG973" s="29"/>
      <c r="BH973" s="12"/>
      <c r="BI973" s="12"/>
      <c r="BJ973" s="12"/>
    </row>
    <row r="974" spans="2:62" x14ac:dyDescent="0.25">
      <c r="B974" s="12"/>
      <c r="C974" s="12"/>
      <c r="D974" s="12"/>
      <c r="E974" s="12"/>
      <c r="F974" s="16"/>
      <c r="BA974" s="12"/>
      <c r="BB974" s="12"/>
      <c r="BC974" s="12"/>
      <c r="BD974" s="12"/>
      <c r="BE974" s="33"/>
      <c r="BF974" s="16"/>
      <c r="BG974" s="29"/>
      <c r="BH974" s="12"/>
      <c r="BI974" s="12"/>
      <c r="BJ974" s="12"/>
    </row>
    <row r="975" spans="2:62" x14ac:dyDescent="0.25">
      <c r="F975" s="16"/>
      <c r="G975" s="16"/>
      <c r="BA975" s="12"/>
      <c r="BB975" s="30"/>
      <c r="BC975" s="34"/>
      <c r="BD975" s="12"/>
      <c r="BE975" s="12"/>
      <c r="BF975" s="16"/>
      <c r="BG975" s="16"/>
      <c r="BH975" s="12"/>
      <c r="BI975" s="12"/>
      <c r="BJ975" s="12"/>
    </row>
    <row r="976" spans="2:62" x14ac:dyDescent="0.25">
      <c r="B976" s="12"/>
      <c r="C976" s="12"/>
      <c r="D976" s="12"/>
      <c r="BA976" s="12"/>
      <c r="BB976" s="30"/>
      <c r="BC976" s="35"/>
      <c r="BD976" s="33"/>
      <c r="BE976" s="33"/>
      <c r="BF976" s="29"/>
      <c r="BG976" s="29"/>
      <c r="BH976" s="12"/>
      <c r="BI976" s="12"/>
      <c r="BJ976" s="12"/>
    </row>
    <row r="977" spans="2:62" x14ac:dyDescent="0.25">
      <c r="C977" s="12"/>
      <c r="D977" s="12"/>
      <c r="E977" s="12"/>
      <c r="BA977" s="12"/>
      <c r="BB977" s="30"/>
      <c r="BC977" s="35"/>
      <c r="BD977" s="33"/>
      <c r="BE977" s="33"/>
      <c r="BF977" s="29"/>
      <c r="BG977" s="29"/>
      <c r="BH977" s="12"/>
      <c r="BI977" s="12"/>
      <c r="BJ977" s="12"/>
    </row>
    <row r="978" spans="2:62" x14ac:dyDescent="0.25">
      <c r="G978" s="16"/>
      <c r="BA978" s="12"/>
      <c r="BB978" s="30"/>
      <c r="BC978" s="34"/>
      <c r="BD978" s="33"/>
      <c r="BE978" s="33"/>
      <c r="BF978" s="29"/>
      <c r="BG978" s="16"/>
      <c r="BH978" s="12"/>
      <c r="BI978" s="12"/>
      <c r="BJ978" s="12"/>
    </row>
    <row r="979" spans="2:62" x14ac:dyDescent="0.25">
      <c r="F979" s="16"/>
      <c r="G979" s="16"/>
      <c r="BA979" s="12"/>
      <c r="BB979" s="30"/>
      <c r="BC979" s="34"/>
      <c r="BD979" s="12"/>
      <c r="BE979" s="12"/>
      <c r="BF979" s="16"/>
      <c r="BG979" s="16"/>
      <c r="BH979" s="12"/>
      <c r="BI979" s="12"/>
      <c r="BJ979" s="12"/>
    </row>
    <row r="980" spans="2:62" x14ac:dyDescent="0.25">
      <c r="C980" s="12"/>
      <c r="BA980" s="12"/>
      <c r="BB980" s="30"/>
      <c r="BC980" s="35"/>
      <c r="BD980" s="33"/>
      <c r="BE980" s="12"/>
      <c r="BF980" s="29"/>
      <c r="BG980" s="29"/>
      <c r="BH980" s="12"/>
      <c r="BI980" s="12"/>
      <c r="BJ980" s="12"/>
    </row>
    <row r="981" spans="2:62" x14ac:dyDescent="0.25">
      <c r="C981" s="12"/>
      <c r="D981" s="12"/>
      <c r="E981" s="12"/>
      <c r="BA981" s="12"/>
      <c r="BB981" s="12"/>
      <c r="BC981" s="12"/>
      <c r="BD981" s="12"/>
      <c r="BE981" s="12"/>
      <c r="BF981" s="29"/>
      <c r="BG981" s="29"/>
      <c r="BH981" s="12"/>
      <c r="BI981" s="12"/>
      <c r="BJ981" s="12"/>
    </row>
    <row r="982" spans="2:62" x14ac:dyDescent="0.25">
      <c r="E982" s="12"/>
      <c r="BA982" s="12"/>
      <c r="BB982" s="30"/>
      <c r="BC982" s="35"/>
      <c r="BD982" s="33"/>
      <c r="BE982" s="33"/>
      <c r="BF982" s="29"/>
      <c r="BG982" s="29"/>
      <c r="BH982" s="12"/>
      <c r="BI982" s="12"/>
      <c r="BJ982" s="12"/>
    </row>
    <row r="983" spans="2:62" x14ac:dyDescent="0.25">
      <c r="B983" s="12"/>
      <c r="C983" s="12"/>
      <c r="D983" s="12"/>
      <c r="E983" s="12"/>
      <c r="F983" s="16"/>
      <c r="G983" s="16"/>
      <c r="BA983" s="12"/>
      <c r="BB983" s="30"/>
      <c r="BC983" s="34"/>
      <c r="BD983" s="12"/>
      <c r="BE983" s="12"/>
      <c r="BF983" s="16"/>
      <c r="BG983" s="16"/>
      <c r="BH983" s="12"/>
      <c r="BI983" s="12"/>
      <c r="BJ983" s="12"/>
    </row>
    <row r="984" spans="2:62" x14ac:dyDescent="0.25">
      <c r="BA984" s="12"/>
      <c r="BB984" s="12"/>
      <c r="BC984" s="12"/>
      <c r="BD984" s="12"/>
      <c r="BE984" s="33"/>
      <c r="BF984" s="29"/>
      <c r="BG984" s="29"/>
      <c r="BH984" s="12"/>
      <c r="BI984" s="12"/>
      <c r="BJ984" s="12"/>
    </row>
    <row r="985" spans="2:62" x14ac:dyDescent="0.25">
      <c r="C985" s="12"/>
      <c r="D985" s="12"/>
      <c r="E985" s="12"/>
      <c r="F985" s="16"/>
      <c r="G985" s="16"/>
      <c r="BA985" s="12"/>
      <c r="BB985" s="12"/>
      <c r="BC985" s="12"/>
      <c r="BD985" s="12"/>
      <c r="BE985" s="12"/>
      <c r="BF985" s="16"/>
      <c r="BG985" s="16"/>
      <c r="BH985" s="12"/>
      <c r="BI985" s="12"/>
      <c r="BJ985" s="12"/>
    </row>
    <row r="986" spans="2:62" x14ac:dyDescent="0.25">
      <c r="B986" s="12"/>
      <c r="C986" s="12"/>
      <c r="D986" s="12"/>
      <c r="BA986" s="12"/>
      <c r="BB986" s="30"/>
      <c r="BC986" s="34"/>
      <c r="BD986" s="33"/>
      <c r="BE986" s="33"/>
      <c r="BF986" s="29"/>
      <c r="BG986" s="29"/>
      <c r="BH986" s="12"/>
      <c r="BI986" s="12"/>
      <c r="BJ986" s="12"/>
    </row>
    <row r="987" spans="2:62" x14ac:dyDescent="0.25">
      <c r="B987" s="12"/>
      <c r="C987" s="12"/>
      <c r="D987" s="12"/>
      <c r="E987" s="12"/>
      <c r="F987" s="16"/>
      <c r="G987" s="16"/>
      <c r="BA987" s="12"/>
      <c r="BB987" s="12"/>
      <c r="BC987" s="12"/>
      <c r="BD987" s="12"/>
      <c r="BE987" s="12"/>
      <c r="BF987" s="16"/>
      <c r="BG987" s="16"/>
      <c r="BH987" s="12"/>
      <c r="BI987" s="12"/>
      <c r="BJ987" s="12"/>
    </row>
    <row r="988" spans="2:62" x14ac:dyDescent="0.25">
      <c r="C988" s="12"/>
      <c r="F988" s="16"/>
      <c r="G988" s="16"/>
      <c r="BA988" s="12"/>
      <c r="BB988" s="30"/>
      <c r="BC988" s="34"/>
      <c r="BD988" s="12"/>
      <c r="BE988" s="12"/>
      <c r="BF988" s="16"/>
      <c r="BG988" s="16"/>
      <c r="BH988" s="12"/>
      <c r="BI988" s="12"/>
      <c r="BJ988" s="12"/>
    </row>
    <row r="989" spans="2:62" x14ac:dyDescent="0.25">
      <c r="B989" s="12"/>
      <c r="C989" s="12"/>
      <c r="D989" s="12"/>
      <c r="E989" s="12"/>
      <c r="BA989" s="12"/>
      <c r="BB989" s="12"/>
      <c r="BC989" s="12"/>
      <c r="BD989" s="12"/>
      <c r="BE989" s="12"/>
      <c r="BF989" s="29"/>
      <c r="BG989" s="29"/>
      <c r="BH989" s="12"/>
      <c r="BI989" s="12"/>
      <c r="BJ989" s="12"/>
    </row>
    <row r="990" spans="2:62" x14ac:dyDescent="0.25">
      <c r="C990" s="12"/>
      <c r="D990" s="12"/>
      <c r="E990" s="12"/>
      <c r="BA990" s="12"/>
      <c r="BB990" s="30"/>
      <c r="BC990" s="35"/>
      <c r="BD990" s="33"/>
      <c r="BE990" s="33"/>
      <c r="BF990" s="29"/>
      <c r="BG990" s="29"/>
      <c r="BH990" s="12"/>
      <c r="BI990" s="12"/>
      <c r="BJ990" s="12"/>
    </row>
    <row r="991" spans="2:62" x14ac:dyDescent="0.25">
      <c r="B991" s="12"/>
      <c r="C991" s="12"/>
      <c r="D991" s="12"/>
      <c r="E991" s="12"/>
      <c r="BA991" s="12"/>
      <c r="BB991" s="30"/>
      <c r="BC991" s="35"/>
      <c r="BD991" s="33"/>
      <c r="BE991" s="33"/>
      <c r="BF991" s="29"/>
      <c r="BG991" s="29"/>
      <c r="BH991" s="12"/>
      <c r="BI991" s="12"/>
      <c r="BJ991" s="12"/>
    </row>
    <row r="992" spans="2:62" x14ac:dyDescent="0.25">
      <c r="F992" s="16"/>
      <c r="G992" s="16"/>
      <c r="P992" s="28"/>
      <c r="Q992" s="28"/>
      <c r="R992" s="28"/>
      <c r="BA992" s="12"/>
      <c r="BB992" s="30"/>
      <c r="BC992" s="12"/>
      <c r="BD992" s="12"/>
      <c r="BE992" s="12"/>
      <c r="BF992" s="16"/>
      <c r="BG992" s="16"/>
      <c r="BH992" s="12"/>
      <c r="BI992" s="12"/>
      <c r="BJ992" s="12"/>
    </row>
    <row r="993" spans="2:62" x14ac:dyDescent="0.25">
      <c r="F993" s="16"/>
      <c r="G993" s="16"/>
      <c r="BA993" s="12"/>
      <c r="BB993" s="12"/>
      <c r="BC993" s="12"/>
      <c r="BD993" s="12"/>
      <c r="BE993" s="12"/>
      <c r="BF993" s="16"/>
      <c r="BG993" s="16"/>
      <c r="BH993" s="12"/>
      <c r="BI993" s="12"/>
      <c r="BJ993" s="12"/>
    </row>
    <row r="994" spans="2:62" x14ac:dyDescent="0.25">
      <c r="C994" s="12"/>
      <c r="D994" s="12"/>
      <c r="E994" s="12"/>
      <c r="G994" s="16"/>
      <c r="BA994" s="12"/>
      <c r="BB994" s="30"/>
      <c r="BC994" s="34"/>
      <c r="BD994" s="33"/>
      <c r="BE994" s="33"/>
      <c r="BF994" s="29"/>
      <c r="BG994" s="16"/>
      <c r="BH994" s="12"/>
      <c r="BI994" s="12"/>
      <c r="BJ994" s="12"/>
    </row>
    <row r="995" spans="2:62" x14ac:dyDescent="0.25">
      <c r="B995" s="12"/>
      <c r="C995" s="12"/>
      <c r="D995" s="12"/>
      <c r="E995" s="12"/>
      <c r="BA995" s="12"/>
      <c r="BB995" s="30"/>
      <c r="BC995" s="34"/>
      <c r="BD995" s="33"/>
      <c r="BE995" s="33"/>
      <c r="BF995" s="29"/>
      <c r="BG995" s="29"/>
      <c r="BH995" s="12"/>
      <c r="BI995" s="12"/>
      <c r="BJ995" s="12"/>
    </row>
    <row r="996" spans="2:62" x14ac:dyDescent="0.25">
      <c r="C996" s="12"/>
      <c r="BA996" s="12"/>
      <c r="BB996" s="30"/>
      <c r="BC996" s="35"/>
      <c r="BD996" s="33"/>
      <c r="BE996" s="33"/>
      <c r="BF996" s="29"/>
      <c r="BG996" s="29"/>
      <c r="BH996" s="12"/>
      <c r="BI996" s="12"/>
      <c r="BJ996" s="12"/>
    </row>
    <row r="997" spans="2:62" x14ac:dyDescent="0.25">
      <c r="C997" s="12"/>
      <c r="F997" s="16"/>
      <c r="G997" s="16"/>
      <c r="BA997" s="12"/>
      <c r="BB997" s="30"/>
      <c r="BC997" s="34"/>
      <c r="BD997" s="12"/>
      <c r="BE997" s="12"/>
      <c r="BF997" s="16"/>
      <c r="BG997" s="16"/>
      <c r="BH997" s="12"/>
      <c r="BI997" s="12"/>
      <c r="BJ997" s="12"/>
    </row>
    <row r="998" spans="2:62" x14ac:dyDescent="0.25">
      <c r="BA998" s="12"/>
      <c r="BB998" s="30"/>
      <c r="BC998" s="35"/>
      <c r="BD998" s="33"/>
      <c r="BE998" s="33"/>
      <c r="BF998" s="29"/>
      <c r="BG998" s="29"/>
      <c r="BH998" s="12"/>
      <c r="BI998" s="12"/>
      <c r="BJ998" s="12"/>
    </row>
    <row r="999" spans="2:62" x14ac:dyDescent="0.25">
      <c r="C999" s="12"/>
      <c r="D999" s="12"/>
      <c r="E999" s="12"/>
      <c r="BA999" s="12"/>
      <c r="BB999" s="12"/>
      <c r="BC999" s="12"/>
      <c r="BD999" s="12"/>
      <c r="BE999" s="33"/>
      <c r="BF999" s="29"/>
      <c r="BG999" s="29"/>
      <c r="BH999" s="12"/>
      <c r="BI999" s="12"/>
      <c r="BJ999" s="12"/>
    </row>
    <row r="1000" spans="2:62" x14ac:dyDescent="0.25">
      <c r="F1000" s="16"/>
      <c r="BA1000" s="12"/>
      <c r="BB1000" s="12"/>
      <c r="BC1000" s="12"/>
      <c r="BD1000" s="12"/>
      <c r="BE1000" s="12"/>
      <c r="BF1000" s="16"/>
      <c r="BG1000" s="29"/>
      <c r="BH1000" s="12"/>
      <c r="BI1000" s="12"/>
      <c r="BJ1000" s="12"/>
    </row>
    <row r="1001" spans="2:62" x14ac:dyDescent="0.25">
      <c r="B1001" s="12"/>
      <c r="C1001" s="12"/>
      <c r="D1001" s="12"/>
      <c r="F1001" s="16"/>
      <c r="BA1001" s="12"/>
      <c r="BB1001" s="12"/>
      <c r="BC1001" s="12"/>
      <c r="BD1001" s="12"/>
      <c r="BE1001" s="12"/>
      <c r="BF1001" s="16"/>
      <c r="BG1001" s="29"/>
      <c r="BH1001" s="12"/>
      <c r="BI1001" s="12"/>
      <c r="BJ1001" s="12"/>
    </row>
    <row r="1002" spans="2:62" x14ac:dyDescent="0.25">
      <c r="B1002" s="12"/>
      <c r="C1002" s="12"/>
      <c r="D1002" s="12"/>
      <c r="E1002" s="12"/>
      <c r="BA1002" s="12"/>
      <c r="BB1002" s="30"/>
      <c r="BC1002" s="34"/>
      <c r="BD1002" s="12"/>
      <c r="BE1002" s="12"/>
      <c r="BF1002" s="29"/>
      <c r="BG1002" s="29"/>
      <c r="BH1002" s="12"/>
      <c r="BI1002" s="12"/>
      <c r="BJ1002" s="12"/>
    </row>
    <row r="1003" spans="2:62" x14ac:dyDescent="0.25">
      <c r="B1003" s="12"/>
      <c r="C1003" s="12"/>
      <c r="D1003" s="12"/>
      <c r="E1003" s="12"/>
      <c r="F1003" s="16"/>
      <c r="G1003" s="16"/>
      <c r="BA1003" s="12"/>
      <c r="BB1003" s="12"/>
      <c r="BC1003" s="12"/>
      <c r="BD1003" s="12"/>
      <c r="BE1003" s="12"/>
      <c r="BF1003" s="16"/>
      <c r="BG1003" s="16"/>
      <c r="BH1003" s="12"/>
      <c r="BI1003" s="12"/>
      <c r="BJ1003" s="12"/>
    </row>
    <row r="1004" spans="2:62" x14ac:dyDescent="0.25">
      <c r="C1004" s="12"/>
      <c r="D1004" s="12"/>
      <c r="E1004" s="12"/>
      <c r="BA1004" s="12"/>
      <c r="BB1004" s="12"/>
      <c r="BC1004" s="12"/>
      <c r="BD1004" s="12"/>
      <c r="BE1004" s="12"/>
      <c r="BF1004" s="29"/>
      <c r="BG1004" s="29"/>
      <c r="BH1004" s="12"/>
      <c r="BI1004" s="12"/>
      <c r="BJ1004" s="12"/>
    </row>
    <row r="1005" spans="2:62" x14ac:dyDescent="0.25">
      <c r="B1005" s="12"/>
      <c r="C1005" s="12"/>
      <c r="D1005" s="12"/>
      <c r="E1005" s="12"/>
      <c r="F1005" s="16"/>
      <c r="G1005" s="16"/>
      <c r="BA1005" s="12"/>
      <c r="BB1005" s="12"/>
      <c r="BC1005" s="12"/>
      <c r="BD1005" s="12"/>
      <c r="BE1005" s="12"/>
      <c r="BF1005" s="16"/>
      <c r="BG1005" s="16"/>
      <c r="BH1005" s="12"/>
      <c r="BI1005" s="12"/>
      <c r="BJ1005" s="12"/>
    </row>
    <row r="1006" spans="2:62" x14ac:dyDescent="0.25">
      <c r="B1006" s="12"/>
      <c r="C1006" s="12"/>
      <c r="D1006" s="12"/>
      <c r="E1006" s="12"/>
      <c r="BA1006" s="12"/>
      <c r="BB1006" s="30"/>
      <c r="BC1006" s="35"/>
      <c r="BD1006" s="33"/>
      <c r="BE1006" s="33"/>
      <c r="BF1006" s="29"/>
      <c r="BG1006" s="29"/>
      <c r="BH1006" s="12"/>
      <c r="BI1006" s="12"/>
      <c r="BJ1006" s="12"/>
    </row>
    <row r="1007" spans="2:62" x14ac:dyDescent="0.25">
      <c r="B1007" s="12"/>
      <c r="C1007" s="12"/>
      <c r="D1007" s="12"/>
      <c r="E1007" s="12"/>
      <c r="F1007" s="16"/>
      <c r="G1007" s="16"/>
      <c r="BA1007" s="12"/>
      <c r="BB1007" s="30"/>
      <c r="BC1007" s="34"/>
      <c r="BD1007" s="12"/>
      <c r="BE1007" s="33"/>
      <c r="BF1007" s="16"/>
      <c r="BG1007" s="16"/>
      <c r="BH1007" s="12"/>
      <c r="BI1007" s="12"/>
      <c r="BJ1007" s="12"/>
    </row>
    <row r="1008" spans="2:62" x14ac:dyDescent="0.25">
      <c r="F1008" s="16"/>
      <c r="G1008" s="16"/>
      <c r="BA1008" s="12"/>
      <c r="BB1008" s="30"/>
      <c r="BC1008" s="34"/>
      <c r="BD1008" s="12"/>
      <c r="BE1008" s="12"/>
      <c r="BF1008" s="16"/>
      <c r="BG1008" s="16"/>
      <c r="BH1008" s="12"/>
      <c r="BI1008" s="12"/>
      <c r="BJ1008" s="12"/>
    </row>
    <row r="1009" spans="2:62" x14ac:dyDescent="0.25">
      <c r="C1009" s="12"/>
      <c r="D1009" s="12"/>
      <c r="BA1009" s="12"/>
      <c r="BB1009" s="30"/>
      <c r="BC1009" s="35"/>
      <c r="BD1009" s="33"/>
      <c r="BE1009" s="33"/>
      <c r="BF1009" s="29"/>
      <c r="BG1009" s="29"/>
      <c r="BH1009" s="12"/>
      <c r="BI1009" s="12"/>
      <c r="BJ1009" s="12"/>
    </row>
    <row r="1010" spans="2:62" x14ac:dyDescent="0.25">
      <c r="C1010" s="12"/>
      <c r="D1010" s="12"/>
      <c r="E1010" s="12"/>
      <c r="F1010" s="16"/>
      <c r="G1010" s="16"/>
      <c r="BA1010" s="12"/>
      <c r="BB1010" s="12"/>
      <c r="BC1010" s="12"/>
      <c r="BD1010" s="12"/>
      <c r="BE1010" s="12"/>
      <c r="BF1010" s="16"/>
      <c r="BG1010" s="16"/>
      <c r="BH1010" s="12"/>
      <c r="BI1010" s="12"/>
      <c r="BJ1010" s="12"/>
    </row>
    <row r="1011" spans="2:62" x14ac:dyDescent="0.25">
      <c r="F1011" s="16"/>
      <c r="G1011" s="16"/>
      <c r="BA1011" s="12"/>
      <c r="BB1011" s="12"/>
      <c r="BC1011" s="12"/>
      <c r="BD1011" s="12"/>
      <c r="BE1011" s="33"/>
      <c r="BF1011" s="16"/>
      <c r="BG1011" s="16"/>
      <c r="BH1011" s="12"/>
      <c r="BI1011" s="12"/>
      <c r="BJ1011" s="12"/>
    </row>
    <row r="1012" spans="2:62" x14ac:dyDescent="0.25">
      <c r="B1012" s="12"/>
      <c r="C1012" s="12"/>
      <c r="D1012" s="12"/>
      <c r="E1012" s="12"/>
      <c r="BA1012" s="12"/>
      <c r="BB1012" s="12"/>
      <c r="BC1012" s="12"/>
      <c r="BD1012" s="12"/>
      <c r="BE1012" s="33"/>
      <c r="BF1012" s="29"/>
      <c r="BG1012" s="29"/>
      <c r="BH1012" s="12"/>
      <c r="BI1012" s="12"/>
      <c r="BJ1012" s="12"/>
    </row>
    <row r="1013" spans="2:62" x14ac:dyDescent="0.25">
      <c r="B1013" s="12"/>
      <c r="C1013" s="12"/>
      <c r="D1013" s="12"/>
      <c r="BA1013" s="12"/>
      <c r="BB1013" s="12"/>
      <c r="BC1013" s="12"/>
      <c r="BD1013" s="12"/>
      <c r="BE1013" s="12"/>
      <c r="BF1013" s="29"/>
      <c r="BG1013" s="29"/>
      <c r="BH1013" s="12"/>
      <c r="BI1013" s="12"/>
      <c r="BJ1013" s="12"/>
    </row>
    <row r="1014" spans="2:62" x14ac:dyDescent="0.25">
      <c r="B1014" s="12"/>
      <c r="C1014" s="12"/>
      <c r="D1014" s="12"/>
      <c r="BA1014" s="12"/>
      <c r="BB1014" s="30"/>
      <c r="BC1014" s="35"/>
      <c r="BD1014" s="33"/>
      <c r="BE1014" s="33"/>
      <c r="BF1014" s="29"/>
      <c r="BG1014" s="29"/>
      <c r="BH1014" s="12"/>
      <c r="BI1014" s="12"/>
      <c r="BJ1014" s="12"/>
    </row>
    <row r="1015" spans="2:62" x14ac:dyDescent="0.25">
      <c r="B1015" s="12"/>
      <c r="C1015" s="12"/>
      <c r="D1015" s="12"/>
      <c r="E1015" s="12"/>
      <c r="F1015" s="16"/>
      <c r="G1015" s="16"/>
      <c r="BA1015" s="12"/>
      <c r="BB1015" s="12"/>
      <c r="BC1015" s="12"/>
      <c r="BD1015" s="12"/>
      <c r="BE1015" s="12"/>
      <c r="BF1015" s="16"/>
      <c r="BG1015" s="16"/>
      <c r="BH1015" s="12"/>
      <c r="BI1015" s="12"/>
      <c r="BJ1015" s="12"/>
    </row>
    <row r="1016" spans="2:62" x14ac:dyDescent="0.25">
      <c r="F1016" s="16"/>
      <c r="G1016" s="16"/>
      <c r="BA1016" s="12"/>
      <c r="BB1016" s="12"/>
      <c r="BC1016" s="12"/>
      <c r="BD1016" s="12"/>
      <c r="BE1016" s="12"/>
      <c r="BF1016" s="16"/>
      <c r="BG1016" s="16"/>
      <c r="BH1016" s="12"/>
      <c r="BI1016" s="12"/>
      <c r="BJ1016" s="12"/>
    </row>
    <row r="1017" spans="2:62" x14ac:dyDescent="0.25">
      <c r="B1017" s="12"/>
      <c r="C1017" s="12"/>
      <c r="D1017" s="12"/>
      <c r="E1017" s="12"/>
      <c r="F1017" s="16"/>
      <c r="G1017" s="16"/>
      <c r="BA1017" s="12"/>
      <c r="BB1017" s="12"/>
      <c r="BC1017" s="12"/>
      <c r="BD1017" s="12"/>
      <c r="BE1017" s="12"/>
      <c r="BF1017" s="16"/>
      <c r="BG1017" s="16"/>
      <c r="BH1017" s="12"/>
      <c r="BI1017" s="12"/>
      <c r="BJ1017" s="12"/>
    </row>
    <row r="1018" spans="2:62" x14ac:dyDescent="0.25">
      <c r="B1018" s="12"/>
      <c r="C1018" s="12"/>
      <c r="D1018" s="12"/>
      <c r="E1018" s="12"/>
      <c r="BA1018" s="12"/>
      <c r="BB1018" s="30"/>
      <c r="BC1018" s="35"/>
      <c r="BD1018" s="33"/>
      <c r="BE1018" s="12"/>
      <c r="BF1018" s="29"/>
      <c r="BG1018" s="29"/>
      <c r="BH1018" s="12"/>
      <c r="BI1018" s="12"/>
      <c r="BJ1018" s="12"/>
    </row>
    <row r="1019" spans="2:62" x14ac:dyDescent="0.25">
      <c r="B1019" s="12"/>
      <c r="C1019" s="12"/>
      <c r="D1019" s="12"/>
      <c r="E1019" s="12"/>
      <c r="G1019" s="16"/>
      <c r="BA1019" s="12"/>
      <c r="BB1019" s="12"/>
      <c r="BC1019" s="12"/>
      <c r="BD1019" s="12"/>
      <c r="BE1019" s="33"/>
      <c r="BF1019" s="29"/>
      <c r="BG1019" s="16"/>
      <c r="BH1019" s="12"/>
      <c r="BI1019" s="12"/>
      <c r="BJ1019" s="12"/>
    </row>
    <row r="1020" spans="2:62" x14ac:dyDescent="0.25">
      <c r="E1020" s="12"/>
      <c r="F1020" s="16"/>
      <c r="G1020" s="16"/>
      <c r="BA1020" s="12"/>
      <c r="BB1020" s="12"/>
      <c r="BC1020" s="12"/>
      <c r="BD1020" s="12"/>
      <c r="BE1020" s="12"/>
      <c r="BF1020" s="16"/>
      <c r="BG1020" s="16"/>
      <c r="BH1020" s="12"/>
      <c r="BI1020" s="12"/>
      <c r="BJ1020" s="12"/>
    </row>
    <row r="1021" spans="2:62" x14ac:dyDescent="0.25">
      <c r="B1021" s="12"/>
      <c r="C1021" s="12"/>
      <c r="D1021" s="12"/>
      <c r="F1021" s="16"/>
      <c r="G1021" s="16"/>
      <c r="BA1021" s="12"/>
      <c r="BB1021" s="30"/>
      <c r="BC1021" s="34"/>
      <c r="BD1021" s="12"/>
      <c r="BE1021" s="33"/>
      <c r="BF1021" s="16"/>
      <c r="BG1021" s="16"/>
      <c r="BH1021" s="12"/>
      <c r="BI1021" s="12"/>
      <c r="BJ1021" s="12"/>
    </row>
    <row r="1022" spans="2:62" x14ac:dyDescent="0.25">
      <c r="B1022" s="12"/>
      <c r="C1022" s="12"/>
      <c r="D1022" s="12"/>
      <c r="E1022" s="12"/>
      <c r="F1022" s="16"/>
      <c r="BA1022" s="12"/>
      <c r="BB1022" s="12"/>
      <c r="BC1022" s="12"/>
      <c r="BD1022" s="12"/>
      <c r="BE1022" s="12"/>
      <c r="BF1022" s="16"/>
      <c r="BG1022" s="29"/>
      <c r="BH1022" s="12"/>
      <c r="BI1022" s="12"/>
      <c r="BJ1022" s="12"/>
    </row>
    <row r="1023" spans="2:62" x14ac:dyDescent="0.25">
      <c r="C1023" s="12"/>
      <c r="D1023" s="12"/>
      <c r="F1023" s="16"/>
      <c r="G1023" s="16"/>
      <c r="BA1023" s="12"/>
      <c r="BB1023" s="30"/>
      <c r="BC1023" s="34"/>
      <c r="BD1023" s="12"/>
      <c r="BE1023" s="12"/>
      <c r="BF1023" s="16"/>
      <c r="BG1023" s="16"/>
      <c r="BH1023" s="12"/>
      <c r="BI1023" s="12"/>
      <c r="BJ1023" s="12"/>
    </row>
    <row r="1024" spans="2:62" x14ac:dyDescent="0.25">
      <c r="B1024" s="12"/>
      <c r="C1024" s="12"/>
      <c r="D1024" s="12"/>
      <c r="E1024" s="12"/>
      <c r="F1024" s="16"/>
      <c r="G1024" s="16"/>
      <c r="BA1024" s="12"/>
      <c r="BB1024" s="30"/>
      <c r="BC1024" s="34"/>
      <c r="BD1024" s="12"/>
      <c r="BE1024" s="12"/>
      <c r="BF1024" s="16"/>
      <c r="BG1024" s="16"/>
      <c r="BH1024" s="12"/>
      <c r="BI1024" s="12"/>
      <c r="BJ1024" s="12"/>
    </row>
    <row r="1025" spans="2:62" x14ac:dyDescent="0.25">
      <c r="C1025" s="12"/>
      <c r="D1025" s="12"/>
      <c r="E1025" s="12"/>
      <c r="F1025" s="16"/>
      <c r="G1025" s="16"/>
      <c r="BA1025" s="12"/>
      <c r="BB1025" s="30"/>
      <c r="BC1025" s="34"/>
      <c r="BD1025" s="12"/>
      <c r="BE1025" s="12"/>
      <c r="BF1025" s="16"/>
      <c r="BG1025" s="16"/>
      <c r="BH1025" s="12"/>
      <c r="BI1025" s="12"/>
      <c r="BJ1025" s="12"/>
    </row>
    <row r="1026" spans="2:62" x14ac:dyDescent="0.25">
      <c r="C1026" s="12"/>
      <c r="D1026" s="12"/>
      <c r="E1026" s="12"/>
      <c r="F1026" s="16"/>
      <c r="G1026" s="16"/>
      <c r="BA1026" s="12"/>
      <c r="BB1026" s="12"/>
      <c r="BC1026" s="12"/>
      <c r="BD1026" s="12"/>
      <c r="BE1026" s="12"/>
      <c r="BF1026" s="16"/>
      <c r="BG1026" s="16"/>
      <c r="BH1026" s="12"/>
      <c r="BI1026" s="12"/>
      <c r="BJ1026" s="12"/>
    </row>
    <row r="1027" spans="2:62" x14ac:dyDescent="0.25">
      <c r="C1027" s="12"/>
      <c r="D1027" s="12"/>
      <c r="E1027" s="12"/>
      <c r="BA1027" s="12"/>
      <c r="BB1027" s="30"/>
      <c r="BC1027" s="35"/>
      <c r="BD1027" s="33"/>
      <c r="BE1027" s="33"/>
      <c r="BF1027" s="29"/>
      <c r="BG1027" s="29"/>
      <c r="BH1027" s="12"/>
      <c r="BI1027" s="12"/>
      <c r="BJ1027" s="12"/>
    </row>
    <row r="1028" spans="2:62" x14ac:dyDescent="0.25">
      <c r="B1028" s="12"/>
      <c r="C1028" s="12"/>
      <c r="D1028" s="12"/>
      <c r="E1028" s="12"/>
      <c r="BA1028" s="12"/>
      <c r="BB1028" s="12"/>
      <c r="BC1028" s="12"/>
      <c r="BD1028" s="12"/>
      <c r="BE1028" s="12"/>
      <c r="BF1028" s="29"/>
      <c r="BG1028" s="29"/>
      <c r="BH1028" s="12"/>
      <c r="BI1028" s="12"/>
      <c r="BJ1028" s="12"/>
    </row>
    <row r="1029" spans="2:62" x14ac:dyDescent="0.25">
      <c r="BA1029" s="12"/>
      <c r="BB1029" s="30"/>
      <c r="BC1029" s="35"/>
      <c r="BD1029" s="33"/>
      <c r="BE1029" s="33"/>
      <c r="BF1029" s="29"/>
      <c r="BG1029" s="29"/>
      <c r="BH1029" s="12"/>
      <c r="BI1029" s="12"/>
      <c r="BJ1029" s="12"/>
    </row>
    <row r="1030" spans="2:62" x14ac:dyDescent="0.25">
      <c r="B1030" s="12"/>
      <c r="C1030" s="12"/>
      <c r="D1030" s="12"/>
      <c r="E1030" s="12"/>
      <c r="BA1030" s="12"/>
      <c r="BB1030" s="12"/>
      <c r="BC1030" s="12"/>
      <c r="BD1030" s="12"/>
      <c r="BE1030" s="12"/>
      <c r="BF1030" s="29"/>
      <c r="BG1030" s="29"/>
      <c r="BH1030" s="12"/>
      <c r="BI1030" s="12"/>
      <c r="BJ1030" s="12"/>
    </row>
    <row r="1031" spans="2:62" x14ac:dyDescent="0.25">
      <c r="F1031" s="16"/>
      <c r="G1031" s="16"/>
      <c r="BA1031" s="12"/>
      <c r="BB1031" s="30"/>
      <c r="BC1031" s="34"/>
      <c r="BD1031" s="12"/>
      <c r="BE1031" s="12"/>
      <c r="BF1031" s="16"/>
      <c r="BG1031" s="16"/>
      <c r="BH1031" s="12"/>
      <c r="BI1031" s="12"/>
      <c r="BJ1031" s="12"/>
    </row>
    <row r="1032" spans="2:62" x14ac:dyDescent="0.25">
      <c r="B1032" s="12"/>
      <c r="C1032" s="12"/>
      <c r="D1032" s="12"/>
      <c r="E1032" s="12"/>
      <c r="BA1032" s="12"/>
      <c r="BB1032" s="12"/>
      <c r="BC1032" s="12"/>
      <c r="BD1032" s="12"/>
      <c r="BE1032" s="12"/>
      <c r="BF1032" s="29"/>
      <c r="BG1032" s="29"/>
      <c r="BH1032" s="12"/>
      <c r="BI1032" s="12"/>
      <c r="BJ1032" s="12"/>
    </row>
    <row r="1033" spans="2:62" x14ac:dyDescent="0.25">
      <c r="C1033" s="12"/>
      <c r="D1033" s="12"/>
      <c r="E1033" s="12"/>
      <c r="F1033" s="16"/>
      <c r="G1033" s="16"/>
      <c r="BA1033" s="12"/>
      <c r="BB1033" s="30"/>
      <c r="BC1033" s="34"/>
      <c r="BD1033" s="12"/>
      <c r="BE1033" s="12"/>
      <c r="BF1033" s="16"/>
      <c r="BG1033" s="16"/>
      <c r="BH1033" s="12"/>
      <c r="BI1033" s="12"/>
      <c r="BJ1033" s="12"/>
    </row>
    <row r="1034" spans="2:62" x14ac:dyDescent="0.25">
      <c r="B1034" s="12"/>
      <c r="C1034" s="12"/>
      <c r="D1034" s="12"/>
      <c r="E1034" s="12"/>
      <c r="F1034" s="16"/>
      <c r="G1034" s="16"/>
      <c r="BA1034" s="12"/>
      <c r="BB1034" s="30"/>
      <c r="BC1034" s="34"/>
      <c r="BD1034" s="12"/>
      <c r="BE1034" s="12"/>
      <c r="BF1034" s="16"/>
      <c r="BG1034" s="16"/>
      <c r="BH1034" s="12"/>
      <c r="BI1034" s="12"/>
      <c r="BJ1034" s="12"/>
    </row>
    <row r="1035" spans="2:62" x14ac:dyDescent="0.25">
      <c r="C1035" s="12"/>
      <c r="D1035" s="12"/>
      <c r="E1035" s="12"/>
      <c r="F1035" s="16"/>
      <c r="G1035" s="16"/>
      <c r="BA1035" s="12"/>
      <c r="BB1035" s="30"/>
      <c r="BC1035" s="34"/>
      <c r="BD1035" s="12"/>
      <c r="BE1035" s="12"/>
      <c r="BF1035" s="16"/>
      <c r="BG1035" s="16"/>
      <c r="BH1035" s="12"/>
      <c r="BI1035" s="12"/>
      <c r="BJ1035" s="12"/>
    </row>
    <row r="1036" spans="2:62" x14ac:dyDescent="0.25">
      <c r="C1036" s="12"/>
      <c r="D1036" s="12"/>
      <c r="E1036" s="12"/>
      <c r="F1036" s="16"/>
      <c r="G1036" s="16"/>
      <c r="BA1036" s="12"/>
      <c r="BB1036" s="12"/>
      <c r="BC1036" s="12"/>
      <c r="BD1036" s="12"/>
      <c r="BE1036" s="12"/>
      <c r="BF1036" s="16"/>
      <c r="BG1036" s="16"/>
      <c r="BH1036" s="12"/>
      <c r="BI1036" s="12"/>
      <c r="BJ1036" s="12"/>
    </row>
    <row r="1037" spans="2:62" x14ac:dyDescent="0.25">
      <c r="C1037" s="12"/>
      <c r="D1037" s="12"/>
      <c r="E1037" s="12"/>
      <c r="BA1037" s="12"/>
      <c r="BB1037" s="30"/>
      <c r="BC1037" s="35"/>
      <c r="BD1037" s="33"/>
      <c r="BE1037" s="33"/>
      <c r="BF1037" s="29"/>
      <c r="BG1037" s="29"/>
      <c r="BH1037" s="12"/>
      <c r="BI1037" s="12"/>
      <c r="BJ1037" s="12"/>
    </row>
    <row r="1038" spans="2:62" x14ac:dyDescent="0.25">
      <c r="B1038" s="12"/>
      <c r="C1038" s="12"/>
      <c r="D1038" s="12"/>
      <c r="E1038" s="12"/>
      <c r="BA1038" s="12"/>
      <c r="BB1038" s="30"/>
      <c r="BC1038" s="35"/>
      <c r="BD1038" s="33"/>
      <c r="BE1038" s="33"/>
      <c r="BF1038" s="29"/>
      <c r="BG1038" s="29"/>
      <c r="BH1038" s="12"/>
      <c r="BI1038" s="12"/>
      <c r="BJ1038" s="12"/>
    </row>
    <row r="1039" spans="2:62" x14ac:dyDescent="0.25">
      <c r="BA1039" s="12"/>
      <c r="BB1039" s="30"/>
      <c r="BC1039" s="35"/>
      <c r="BD1039" s="33"/>
      <c r="BE1039" s="33"/>
      <c r="BF1039" s="29"/>
      <c r="BG1039" s="29"/>
      <c r="BH1039" s="12"/>
      <c r="BI1039" s="12"/>
      <c r="BJ1039" s="12"/>
    </row>
    <row r="1040" spans="2:62" x14ac:dyDescent="0.25">
      <c r="F1040" s="16"/>
      <c r="BA1040" s="12"/>
      <c r="BB1040" s="12"/>
      <c r="BC1040" s="12"/>
      <c r="BD1040" s="12"/>
      <c r="BE1040" s="12"/>
      <c r="BF1040" s="16"/>
      <c r="BG1040" s="29"/>
      <c r="BH1040" s="12"/>
      <c r="BI1040" s="12"/>
      <c r="BJ1040" s="12"/>
    </row>
    <row r="1041" spans="2:62" x14ac:dyDescent="0.25">
      <c r="F1041" s="16"/>
      <c r="G1041" s="16"/>
      <c r="BA1041" s="12"/>
      <c r="BB1041" s="12"/>
      <c r="BC1041" s="12"/>
      <c r="BD1041" s="12"/>
      <c r="BE1041" s="33"/>
      <c r="BF1041" s="16"/>
      <c r="BG1041" s="16"/>
      <c r="BH1041" s="12"/>
      <c r="BI1041" s="12"/>
      <c r="BJ1041" s="12"/>
    </row>
    <row r="1042" spans="2:62" x14ac:dyDescent="0.25">
      <c r="B1042" s="12"/>
      <c r="C1042" s="12"/>
      <c r="D1042" s="12"/>
      <c r="E1042" s="12"/>
      <c r="BA1042" s="12"/>
      <c r="BB1042" s="30"/>
      <c r="BC1042" s="35"/>
      <c r="BD1042" s="33"/>
      <c r="BE1042" s="12"/>
      <c r="BF1042" s="29"/>
      <c r="BG1042" s="29"/>
      <c r="BH1042" s="12"/>
      <c r="BI1042" s="12"/>
      <c r="BJ1042" s="12"/>
    </row>
    <row r="1043" spans="2:62" x14ac:dyDescent="0.25">
      <c r="B1043" s="12"/>
      <c r="C1043" s="12"/>
      <c r="D1043" s="12"/>
      <c r="F1043" s="16"/>
      <c r="G1043" s="16"/>
      <c r="BA1043" s="12"/>
      <c r="BB1043" s="30"/>
      <c r="BC1043" s="34"/>
      <c r="BD1043" s="12"/>
      <c r="BE1043" s="33"/>
      <c r="BF1043" s="16"/>
      <c r="BG1043" s="16"/>
      <c r="BH1043" s="12"/>
      <c r="BI1043" s="12"/>
      <c r="BJ1043" s="12"/>
    </row>
    <row r="1044" spans="2:62" x14ac:dyDescent="0.25">
      <c r="E1044" s="12"/>
      <c r="F1044" s="16"/>
      <c r="BA1044" s="12"/>
      <c r="BB1044" s="12"/>
      <c r="BC1044" s="12"/>
      <c r="BD1044" s="12"/>
      <c r="BE1044" s="12"/>
      <c r="BF1044" s="16"/>
      <c r="BG1044" s="29"/>
      <c r="BH1044" s="12"/>
      <c r="BI1044" s="12"/>
      <c r="BJ1044" s="12"/>
    </row>
    <row r="1045" spans="2:62" x14ac:dyDescent="0.25">
      <c r="C1045" s="12"/>
      <c r="D1045" s="12"/>
      <c r="BA1045" s="12"/>
      <c r="BB1045" s="30"/>
      <c r="BC1045" s="35"/>
      <c r="BD1045" s="33"/>
      <c r="BE1045" s="33"/>
      <c r="BF1045" s="29"/>
      <c r="BG1045" s="29"/>
      <c r="BH1045" s="12"/>
      <c r="BI1045" s="12"/>
      <c r="BJ1045" s="12"/>
    </row>
    <row r="1046" spans="2:62" x14ac:dyDescent="0.25">
      <c r="B1046" s="12"/>
      <c r="C1046" s="12"/>
      <c r="D1046" s="12"/>
      <c r="E1046" s="12"/>
      <c r="BA1046" s="12"/>
      <c r="BB1046" s="30"/>
      <c r="BC1046" s="35"/>
      <c r="BD1046" s="33"/>
      <c r="BE1046" s="33"/>
      <c r="BF1046" s="29"/>
      <c r="BG1046" s="29"/>
      <c r="BH1046" s="12"/>
      <c r="BI1046" s="12"/>
      <c r="BJ1046" s="12"/>
    </row>
    <row r="1047" spans="2:62" x14ac:dyDescent="0.25">
      <c r="BA1047" s="12"/>
      <c r="BB1047" s="30"/>
      <c r="BC1047" s="35"/>
      <c r="BD1047" s="33"/>
      <c r="BE1047" s="33"/>
      <c r="BF1047" s="29"/>
      <c r="BG1047" s="29"/>
      <c r="BH1047" s="12"/>
      <c r="BI1047" s="12"/>
      <c r="BJ1047" s="12"/>
    </row>
    <row r="1048" spans="2:62" x14ac:dyDescent="0.25">
      <c r="BA1048" s="12"/>
      <c r="BB1048" s="30"/>
      <c r="BC1048" s="35"/>
      <c r="BD1048" s="33"/>
      <c r="BE1048" s="33"/>
      <c r="BF1048" s="29"/>
      <c r="BG1048" s="29"/>
      <c r="BH1048" s="12"/>
      <c r="BI1048" s="12"/>
      <c r="BJ1048" s="12"/>
    </row>
    <row r="1049" spans="2:62" x14ac:dyDescent="0.25">
      <c r="BA1049" s="12"/>
      <c r="BB1049" s="30"/>
      <c r="BC1049" s="35"/>
      <c r="BD1049" s="33"/>
      <c r="BE1049" s="33"/>
      <c r="BF1049" s="29"/>
      <c r="BG1049" s="29"/>
      <c r="BH1049" s="12"/>
      <c r="BI1049" s="12"/>
      <c r="BJ1049" s="12"/>
    </row>
    <row r="1050" spans="2:62" x14ac:dyDescent="0.25">
      <c r="BA1050" s="12"/>
      <c r="BB1050" s="30"/>
      <c r="BC1050" s="35"/>
      <c r="BD1050" s="33"/>
      <c r="BE1050" s="33"/>
      <c r="BF1050" s="29"/>
      <c r="BG1050" s="29"/>
      <c r="BH1050" s="12"/>
      <c r="BI1050" s="12"/>
      <c r="BJ1050" s="12"/>
    </row>
    <row r="1051" spans="2:62" x14ac:dyDescent="0.25">
      <c r="BA1051" s="12"/>
      <c r="BB1051" s="30"/>
      <c r="BC1051" s="35"/>
      <c r="BD1051" s="33"/>
      <c r="BE1051" s="33"/>
      <c r="BF1051" s="29"/>
      <c r="BG1051" s="29"/>
      <c r="BH1051" s="12"/>
      <c r="BI1051" s="12"/>
      <c r="BJ1051" s="12"/>
    </row>
    <row r="1052" spans="2:62" x14ac:dyDescent="0.25">
      <c r="BA1052" s="12"/>
      <c r="BB1052" s="30"/>
      <c r="BC1052" s="35"/>
      <c r="BD1052" s="33"/>
      <c r="BE1052" s="33"/>
      <c r="BF1052" s="29"/>
      <c r="BG1052" s="29"/>
      <c r="BH1052" s="12"/>
      <c r="BI1052" s="12"/>
      <c r="BJ1052" s="12"/>
    </row>
    <row r="1053" spans="2:62" x14ac:dyDescent="0.25">
      <c r="BA1053" s="12"/>
      <c r="BB1053" s="30"/>
      <c r="BC1053" s="35"/>
      <c r="BD1053" s="33"/>
      <c r="BE1053" s="33"/>
      <c r="BF1053" s="29"/>
      <c r="BG1053" s="29"/>
      <c r="BH1053" s="12"/>
      <c r="BI1053" s="12"/>
      <c r="BJ1053" s="12"/>
    </row>
    <row r="1054" spans="2:62" x14ac:dyDescent="0.25">
      <c r="BA1054" s="12"/>
      <c r="BB1054" s="30"/>
      <c r="BC1054" s="35"/>
      <c r="BD1054" s="33"/>
      <c r="BE1054" s="33"/>
      <c r="BF1054" s="29"/>
      <c r="BG1054" s="29"/>
      <c r="BH1054" s="12"/>
      <c r="BI1054" s="12"/>
      <c r="BJ1054" s="12"/>
    </row>
    <row r="1055" spans="2:62" x14ac:dyDescent="0.25">
      <c r="BA1055" s="12"/>
      <c r="BB1055" s="30"/>
      <c r="BC1055" s="35"/>
      <c r="BD1055" s="33"/>
      <c r="BE1055" s="33"/>
      <c r="BF1055" s="29"/>
      <c r="BG1055" s="29"/>
      <c r="BH1055" s="12"/>
      <c r="BI1055" s="12"/>
      <c r="BJ1055" s="12"/>
    </row>
    <row r="1056" spans="2:62" x14ac:dyDescent="0.25">
      <c r="BA1056" s="12"/>
      <c r="BB1056" s="30"/>
      <c r="BC1056" s="35"/>
      <c r="BD1056" s="33"/>
      <c r="BE1056" s="33"/>
      <c r="BF1056" s="29"/>
      <c r="BG1056" s="29"/>
      <c r="BH1056" s="12"/>
      <c r="BI1056" s="12"/>
      <c r="BJ1056" s="12"/>
    </row>
    <row r="1057" spans="53:62" x14ac:dyDescent="0.25">
      <c r="BA1057" s="12"/>
      <c r="BB1057" s="30"/>
      <c r="BC1057" s="35"/>
      <c r="BD1057" s="33"/>
      <c r="BE1057" s="33"/>
      <c r="BF1057" s="29"/>
      <c r="BG1057" s="29"/>
      <c r="BH1057" s="12"/>
      <c r="BI1057" s="12"/>
      <c r="BJ1057" s="12"/>
    </row>
    <row r="1058" spans="53:62" x14ac:dyDescent="0.25">
      <c r="BA1058" s="12"/>
      <c r="BB1058" s="30"/>
      <c r="BC1058" s="35"/>
      <c r="BD1058" s="33"/>
      <c r="BE1058" s="33"/>
      <c r="BF1058" s="29"/>
      <c r="BG1058" s="29"/>
      <c r="BH1058" s="12"/>
      <c r="BI1058" s="12"/>
      <c r="BJ1058" s="12"/>
    </row>
    <row r="1059" spans="53:62" x14ac:dyDescent="0.25">
      <c r="BA1059" s="12"/>
      <c r="BB1059" s="30"/>
      <c r="BC1059" s="35"/>
      <c r="BD1059" s="33"/>
      <c r="BE1059" s="33"/>
      <c r="BF1059" s="29"/>
      <c r="BG1059" s="29"/>
      <c r="BH1059" s="12"/>
      <c r="BI1059" s="12"/>
      <c r="BJ1059" s="12"/>
    </row>
    <row r="1060" spans="53:62" x14ac:dyDescent="0.25">
      <c r="BA1060" s="12"/>
      <c r="BB1060" s="30"/>
      <c r="BC1060" s="35"/>
      <c r="BD1060" s="33"/>
      <c r="BE1060" s="33"/>
      <c r="BF1060" s="29"/>
      <c r="BG1060" s="29"/>
      <c r="BH1060" s="12"/>
      <c r="BI1060" s="12"/>
      <c r="BJ1060" s="12"/>
    </row>
    <row r="1061" spans="53:62" x14ac:dyDescent="0.25">
      <c r="BA1061" s="12"/>
      <c r="BB1061" s="30"/>
      <c r="BC1061" s="35"/>
      <c r="BD1061" s="33"/>
      <c r="BE1061" s="33"/>
      <c r="BF1061" s="29"/>
      <c r="BG1061" s="29"/>
      <c r="BH1061" s="12"/>
      <c r="BI1061" s="12"/>
      <c r="BJ1061" s="12"/>
    </row>
    <row r="1062" spans="53:62" x14ac:dyDescent="0.25">
      <c r="BA1062" s="12"/>
      <c r="BB1062" s="30"/>
      <c r="BC1062" s="35"/>
      <c r="BD1062" s="33"/>
      <c r="BE1062" s="33"/>
      <c r="BF1062" s="29"/>
      <c r="BG1062" s="29"/>
      <c r="BH1062" s="12"/>
      <c r="BI1062" s="12"/>
      <c r="BJ1062" s="12"/>
    </row>
    <row r="1063" spans="53:62" x14ac:dyDescent="0.25">
      <c r="BA1063" s="12"/>
      <c r="BB1063" s="30"/>
      <c r="BC1063" s="35"/>
      <c r="BD1063" s="33"/>
      <c r="BE1063" s="33"/>
      <c r="BF1063" s="29"/>
      <c r="BG1063" s="29"/>
      <c r="BH1063" s="12"/>
      <c r="BI1063" s="12"/>
      <c r="BJ1063" s="12"/>
    </row>
    <row r="1064" spans="53:62" x14ac:dyDescent="0.25">
      <c r="BA1064" s="12"/>
      <c r="BB1064" s="30"/>
      <c r="BC1064" s="35"/>
      <c r="BD1064" s="33"/>
      <c r="BE1064" s="33"/>
      <c r="BF1064" s="29"/>
      <c r="BG1064" s="29"/>
      <c r="BH1064" s="12"/>
      <c r="BI1064" s="12"/>
      <c r="BJ1064" s="12"/>
    </row>
    <row r="1065" spans="53:62" x14ac:dyDescent="0.25">
      <c r="BA1065" s="12"/>
      <c r="BB1065" s="30"/>
      <c r="BC1065" s="35"/>
      <c r="BD1065" s="33"/>
      <c r="BE1065" s="33"/>
      <c r="BF1065" s="29"/>
      <c r="BG1065" s="29"/>
      <c r="BH1065" s="12"/>
      <c r="BI1065" s="12"/>
      <c r="BJ1065" s="12"/>
    </row>
    <row r="1066" spans="53:62" x14ac:dyDescent="0.25">
      <c r="BA1066" s="12"/>
      <c r="BB1066" s="30"/>
      <c r="BC1066" s="35"/>
      <c r="BD1066" s="33"/>
      <c r="BE1066" s="33"/>
      <c r="BF1066" s="29"/>
      <c r="BG1066" s="29"/>
      <c r="BH1066" s="12"/>
      <c r="BI1066" s="12"/>
      <c r="BJ1066" s="12"/>
    </row>
    <row r="1067" spans="53:62" x14ac:dyDescent="0.25">
      <c r="BA1067" s="12"/>
      <c r="BB1067" s="30"/>
      <c r="BC1067" s="35"/>
      <c r="BD1067" s="33"/>
      <c r="BE1067" s="33"/>
      <c r="BF1067" s="29"/>
      <c r="BG1067" s="29"/>
      <c r="BH1067" s="12"/>
      <c r="BI1067" s="12"/>
      <c r="BJ1067" s="12"/>
    </row>
    <row r="1068" spans="53:62" x14ac:dyDescent="0.25">
      <c r="BA1068" s="12"/>
      <c r="BB1068" s="30"/>
      <c r="BC1068" s="35"/>
      <c r="BD1068" s="33"/>
      <c r="BE1068" s="33"/>
      <c r="BF1068" s="29"/>
      <c r="BG1068" s="29"/>
      <c r="BH1068" s="12"/>
      <c r="BI1068" s="12"/>
      <c r="BJ1068" s="12"/>
    </row>
    <row r="1069" spans="53:62" x14ac:dyDescent="0.25">
      <c r="BA1069" s="12"/>
      <c r="BB1069" s="30"/>
      <c r="BC1069" s="35"/>
      <c r="BD1069" s="33"/>
      <c r="BE1069" s="33"/>
      <c r="BF1069" s="29"/>
      <c r="BG1069" s="29"/>
      <c r="BH1069" s="12"/>
      <c r="BI1069" s="12"/>
      <c r="BJ1069" s="12"/>
    </row>
    <row r="1070" spans="53:62" x14ac:dyDescent="0.25">
      <c r="BA1070" s="12"/>
      <c r="BB1070" s="30"/>
      <c r="BC1070" s="35"/>
      <c r="BD1070" s="33"/>
      <c r="BE1070" s="33"/>
      <c r="BF1070" s="29"/>
      <c r="BG1070" s="29"/>
      <c r="BH1070" s="12"/>
      <c r="BI1070" s="12"/>
      <c r="BJ1070" s="12"/>
    </row>
    <row r="1071" spans="53:62" x14ac:dyDescent="0.25">
      <c r="BA1071" s="12"/>
      <c r="BB1071" s="30"/>
      <c r="BC1071" s="35"/>
      <c r="BD1071" s="33"/>
      <c r="BE1071" s="33"/>
      <c r="BF1071" s="29"/>
      <c r="BG1071" s="29"/>
      <c r="BH1071" s="12"/>
      <c r="BI1071" s="12"/>
      <c r="BJ1071" s="12"/>
    </row>
    <row r="1072" spans="53:62" x14ac:dyDescent="0.25">
      <c r="BA1072" s="12"/>
      <c r="BB1072" s="30"/>
      <c r="BC1072" s="35"/>
      <c r="BD1072" s="33"/>
      <c r="BE1072" s="33"/>
      <c r="BF1072" s="29"/>
      <c r="BG1072" s="29"/>
      <c r="BH1072" s="12"/>
      <c r="BI1072" s="12"/>
      <c r="BJ1072" s="12"/>
    </row>
    <row r="1073" spans="53:62" x14ac:dyDescent="0.25">
      <c r="BA1073" s="12"/>
      <c r="BB1073" s="30"/>
      <c r="BC1073" s="35"/>
      <c r="BD1073" s="33"/>
      <c r="BE1073" s="33"/>
      <c r="BF1073" s="29"/>
      <c r="BG1073" s="29"/>
      <c r="BH1073" s="12"/>
      <c r="BI1073" s="12"/>
      <c r="BJ1073" s="12"/>
    </row>
    <row r="1074" spans="53:62" x14ac:dyDescent="0.25">
      <c r="BA1074" s="12"/>
      <c r="BB1074" s="30"/>
      <c r="BC1074" s="35"/>
      <c r="BD1074" s="33"/>
      <c r="BE1074" s="33"/>
      <c r="BF1074" s="29"/>
      <c r="BG1074" s="29"/>
      <c r="BH1074" s="12"/>
      <c r="BI1074" s="12"/>
      <c r="BJ1074" s="12"/>
    </row>
    <row r="1075" spans="53:62" x14ac:dyDescent="0.25">
      <c r="BA1075" s="12"/>
      <c r="BB1075" s="30"/>
      <c r="BC1075" s="35"/>
      <c r="BD1075" s="33"/>
      <c r="BE1075" s="33"/>
      <c r="BF1075" s="29"/>
      <c r="BG1075" s="29"/>
      <c r="BH1075" s="12"/>
      <c r="BI1075" s="12"/>
      <c r="BJ1075" s="12"/>
    </row>
    <row r="1076" spans="53:62" x14ac:dyDescent="0.25">
      <c r="BA1076" s="12"/>
      <c r="BB1076" s="30"/>
      <c r="BC1076" s="35"/>
      <c r="BD1076" s="33"/>
      <c r="BE1076" s="33"/>
      <c r="BF1076" s="29"/>
      <c r="BG1076" s="29"/>
      <c r="BH1076" s="12"/>
      <c r="BI1076" s="12"/>
      <c r="BJ1076" s="12"/>
    </row>
    <row r="1077" spans="53:62" x14ac:dyDescent="0.25">
      <c r="BA1077" s="12"/>
      <c r="BB1077" s="30"/>
      <c r="BC1077" s="35"/>
      <c r="BD1077" s="33"/>
      <c r="BE1077" s="33"/>
      <c r="BF1077" s="29"/>
      <c r="BG1077" s="29"/>
      <c r="BH1077" s="12"/>
      <c r="BI1077" s="12"/>
      <c r="BJ1077" s="12"/>
    </row>
    <row r="1078" spans="53:62" x14ac:dyDescent="0.25">
      <c r="BA1078" s="12"/>
      <c r="BB1078" s="30"/>
      <c r="BC1078" s="35"/>
      <c r="BD1078" s="33"/>
      <c r="BE1078" s="33"/>
      <c r="BF1078" s="29"/>
      <c r="BG1078" s="29"/>
      <c r="BH1078" s="12"/>
      <c r="BI1078" s="12"/>
      <c r="BJ1078" s="12"/>
    </row>
    <row r="1079" spans="53:62" x14ac:dyDescent="0.25">
      <c r="BA1079" s="12"/>
      <c r="BB1079" s="30"/>
      <c r="BC1079" s="35"/>
      <c r="BD1079" s="33"/>
      <c r="BE1079" s="33"/>
      <c r="BF1079" s="29"/>
      <c r="BG1079" s="29"/>
      <c r="BH1079" s="12"/>
      <c r="BI1079" s="12"/>
      <c r="BJ1079" s="12"/>
    </row>
    <row r="1080" spans="53:62" x14ac:dyDescent="0.25">
      <c r="BA1080" s="12"/>
      <c r="BB1080" s="30"/>
      <c r="BC1080" s="35"/>
      <c r="BD1080" s="33"/>
      <c r="BE1080" s="33"/>
      <c r="BF1080" s="29"/>
      <c r="BG1080" s="29"/>
      <c r="BH1080" s="12"/>
      <c r="BI1080" s="12"/>
      <c r="BJ1080" s="12"/>
    </row>
    <row r="1081" spans="53:62" x14ac:dyDescent="0.25">
      <c r="BA1081" s="12"/>
      <c r="BB1081" s="30"/>
      <c r="BC1081" s="35"/>
      <c r="BD1081" s="33"/>
      <c r="BE1081" s="33"/>
      <c r="BF1081" s="29"/>
      <c r="BG1081" s="29"/>
      <c r="BH1081" s="12"/>
      <c r="BI1081" s="12"/>
      <c r="BJ1081" s="12"/>
    </row>
    <row r="1082" spans="53:62" x14ac:dyDescent="0.25">
      <c r="BA1082" s="12"/>
      <c r="BB1082" s="30"/>
      <c r="BC1082" s="35"/>
      <c r="BD1082" s="33"/>
      <c r="BE1082" s="33"/>
      <c r="BF1082" s="29"/>
      <c r="BG1082" s="29"/>
      <c r="BH1082" s="12"/>
      <c r="BI1082" s="12"/>
      <c r="BJ1082" s="12"/>
    </row>
    <row r="1083" spans="53:62" x14ac:dyDescent="0.25">
      <c r="BA1083" s="12"/>
      <c r="BB1083" s="30"/>
      <c r="BC1083" s="35"/>
      <c r="BD1083" s="33"/>
      <c r="BE1083" s="33"/>
      <c r="BF1083" s="29"/>
      <c r="BG1083" s="29"/>
      <c r="BH1083" s="12"/>
      <c r="BI1083" s="12"/>
      <c r="BJ1083" s="12"/>
    </row>
    <row r="1084" spans="53:62" x14ac:dyDescent="0.25">
      <c r="BA1084" s="12"/>
      <c r="BB1084" s="30"/>
      <c r="BC1084" s="35"/>
      <c r="BD1084" s="33"/>
      <c r="BE1084" s="33"/>
      <c r="BF1084" s="29"/>
      <c r="BG1084" s="29"/>
      <c r="BH1084" s="12"/>
      <c r="BI1084" s="12"/>
      <c r="BJ1084" s="12"/>
    </row>
    <row r="1085" spans="53:62" x14ac:dyDescent="0.25">
      <c r="BA1085" s="12"/>
      <c r="BB1085" s="30"/>
      <c r="BC1085" s="35"/>
      <c r="BD1085" s="33"/>
      <c r="BE1085" s="33"/>
      <c r="BF1085" s="29"/>
      <c r="BG1085" s="29"/>
      <c r="BH1085" s="12"/>
      <c r="BI1085" s="12"/>
      <c r="BJ1085" s="12"/>
    </row>
    <row r="1086" spans="53:62" x14ac:dyDescent="0.25">
      <c r="BA1086" s="12"/>
      <c r="BB1086" s="30"/>
      <c r="BC1086" s="35"/>
      <c r="BD1086" s="33"/>
      <c r="BE1086" s="33"/>
      <c r="BF1086" s="29"/>
      <c r="BG1086" s="29"/>
      <c r="BH1086" s="12"/>
      <c r="BI1086" s="12"/>
      <c r="BJ1086" s="12"/>
    </row>
    <row r="1087" spans="53:62" x14ac:dyDescent="0.25">
      <c r="BA1087" s="12"/>
      <c r="BB1087" s="30"/>
      <c r="BC1087" s="35"/>
      <c r="BD1087" s="33"/>
      <c r="BE1087" s="33"/>
      <c r="BF1087" s="29"/>
      <c r="BG1087" s="29"/>
      <c r="BH1087" s="12"/>
      <c r="BI1087" s="12"/>
      <c r="BJ1087" s="12"/>
    </row>
    <row r="1088" spans="53:62" x14ac:dyDescent="0.25">
      <c r="BA1088" s="12"/>
      <c r="BB1088" s="30"/>
      <c r="BC1088" s="35"/>
      <c r="BD1088" s="33"/>
      <c r="BE1088" s="33"/>
      <c r="BF1088" s="29"/>
      <c r="BG1088" s="29"/>
      <c r="BH1088" s="12"/>
      <c r="BI1088" s="12"/>
      <c r="BJ1088" s="12"/>
    </row>
    <row r="1089" spans="53:62" x14ac:dyDescent="0.25">
      <c r="BA1089" s="12"/>
      <c r="BB1089" s="30"/>
      <c r="BC1089" s="35"/>
      <c r="BD1089" s="33"/>
      <c r="BE1089" s="33"/>
      <c r="BF1089" s="29"/>
      <c r="BG1089" s="29"/>
      <c r="BH1089" s="12"/>
      <c r="BI1089" s="12"/>
      <c r="BJ1089" s="12"/>
    </row>
    <row r="1090" spans="53:62" x14ac:dyDescent="0.25">
      <c r="BA1090" s="12"/>
      <c r="BB1090" s="30"/>
      <c r="BC1090" s="35"/>
      <c r="BD1090" s="33"/>
      <c r="BE1090" s="33"/>
      <c r="BF1090" s="29"/>
      <c r="BG1090" s="29"/>
      <c r="BH1090" s="12"/>
      <c r="BI1090" s="12"/>
      <c r="BJ1090" s="12"/>
    </row>
    <row r="1091" spans="53:62" x14ac:dyDescent="0.25">
      <c r="BA1091" s="12"/>
      <c r="BB1091" s="30"/>
      <c r="BC1091" s="35"/>
      <c r="BD1091" s="33"/>
      <c r="BE1091" s="33"/>
      <c r="BF1091" s="29"/>
      <c r="BG1091" s="29"/>
      <c r="BH1091" s="12"/>
      <c r="BI1091" s="12"/>
      <c r="BJ1091" s="12"/>
    </row>
    <row r="1092" spans="53:62" x14ac:dyDescent="0.25">
      <c r="BA1092" s="12"/>
      <c r="BB1092" s="30"/>
      <c r="BC1092" s="35"/>
      <c r="BD1092" s="33"/>
      <c r="BE1092" s="33"/>
      <c r="BF1092" s="29"/>
      <c r="BG1092" s="29"/>
      <c r="BH1092" s="12"/>
      <c r="BI1092" s="12"/>
      <c r="BJ1092" s="12"/>
    </row>
    <row r="1093" spans="53:62" x14ac:dyDescent="0.25">
      <c r="BA1093" s="12"/>
      <c r="BB1093" s="30"/>
      <c r="BC1093" s="35"/>
      <c r="BD1093" s="33"/>
      <c r="BE1093" s="33"/>
      <c r="BF1093" s="29"/>
      <c r="BG1093" s="29"/>
      <c r="BH1093" s="12"/>
      <c r="BI1093" s="12"/>
      <c r="BJ1093" s="12"/>
    </row>
    <row r="1094" spans="53:62" x14ac:dyDescent="0.25">
      <c r="BA1094" s="12"/>
      <c r="BB1094" s="30"/>
      <c r="BC1094" s="35"/>
      <c r="BD1094" s="33"/>
      <c r="BE1094" s="33"/>
      <c r="BF1094" s="29"/>
      <c r="BG1094" s="29"/>
      <c r="BH1094" s="12"/>
      <c r="BI1094" s="12"/>
      <c r="BJ1094" s="12"/>
    </row>
    <row r="1095" spans="53:62" x14ac:dyDescent="0.25">
      <c r="BA1095" s="12"/>
      <c r="BB1095" s="30"/>
      <c r="BC1095" s="35"/>
      <c r="BD1095" s="33"/>
      <c r="BE1095" s="33"/>
      <c r="BF1095" s="29"/>
      <c r="BG1095" s="29"/>
      <c r="BH1095" s="12"/>
      <c r="BI1095" s="12"/>
      <c r="BJ1095" s="12"/>
    </row>
    <row r="1096" spans="53:62" x14ac:dyDescent="0.25">
      <c r="BA1096" s="12"/>
      <c r="BB1096" s="30"/>
      <c r="BC1096" s="35"/>
      <c r="BD1096" s="33"/>
      <c r="BE1096" s="33"/>
      <c r="BF1096" s="29"/>
      <c r="BG1096" s="29"/>
      <c r="BH1096" s="12"/>
      <c r="BI1096" s="12"/>
      <c r="BJ1096" s="12"/>
    </row>
    <row r="1097" spans="53:62" x14ac:dyDescent="0.25">
      <c r="BA1097" s="12"/>
      <c r="BB1097" s="30"/>
      <c r="BC1097" s="35"/>
      <c r="BD1097" s="33"/>
      <c r="BE1097" s="33"/>
      <c r="BF1097" s="29"/>
      <c r="BG1097" s="29"/>
      <c r="BH1097" s="12"/>
      <c r="BI1097" s="12"/>
      <c r="BJ1097" s="12"/>
    </row>
    <row r="1098" spans="53:62" x14ac:dyDescent="0.25">
      <c r="BA1098" s="12"/>
      <c r="BB1098" s="30"/>
      <c r="BC1098" s="35"/>
      <c r="BD1098" s="33"/>
      <c r="BE1098" s="33"/>
      <c r="BF1098" s="29"/>
      <c r="BG1098" s="29"/>
      <c r="BH1098" s="12"/>
      <c r="BI1098" s="12"/>
      <c r="BJ1098" s="12"/>
    </row>
    <row r="1099" spans="53:62" x14ac:dyDescent="0.25">
      <c r="BA1099" s="12"/>
      <c r="BB1099" s="30"/>
      <c r="BC1099" s="35"/>
      <c r="BD1099" s="33"/>
      <c r="BE1099" s="33"/>
      <c r="BF1099" s="29"/>
      <c r="BG1099" s="29"/>
      <c r="BH1099" s="12"/>
      <c r="BI1099" s="12"/>
      <c r="BJ1099" s="12"/>
    </row>
    <row r="1100" spans="53:62" x14ac:dyDescent="0.25">
      <c r="BA1100" s="12"/>
      <c r="BB1100" s="30"/>
      <c r="BC1100" s="35"/>
      <c r="BD1100" s="33"/>
      <c r="BE1100" s="33"/>
      <c r="BF1100" s="29"/>
      <c r="BG1100" s="29"/>
      <c r="BH1100" s="12"/>
      <c r="BI1100" s="12"/>
      <c r="BJ1100" s="12"/>
    </row>
    <row r="1101" spans="53:62" x14ac:dyDescent="0.25">
      <c r="BA1101" s="12"/>
      <c r="BB1101" s="30"/>
      <c r="BC1101" s="35"/>
      <c r="BD1101" s="33"/>
      <c r="BE1101" s="33"/>
      <c r="BF1101" s="29"/>
      <c r="BG1101" s="29"/>
      <c r="BH1101" s="12"/>
      <c r="BI1101" s="12"/>
      <c r="BJ1101" s="12"/>
    </row>
    <row r="1102" spans="53:62" x14ac:dyDescent="0.25">
      <c r="BA1102" s="12"/>
      <c r="BB1102" s="30"/>
      <c r="BC1102" s="35"/>
      <c r="BD1102" s="33"/>
      <c r="BE1102" s="33"/>
      <c r="BF1102" s="29"/>
      <c r="BG1102" s="29"/>
      <c r="BH1102" s="12"/>
      <c r="BI1102" s="12"/>
      <c r="BJ1102" s="12"/>
    </row>
    <row r="1103" spans="53:62" x14ac:dyDescent="0.25">
      <c r="BA1103" s="12"/>
      <c r="BB1103" s="30"/>
      <c r="BC1103" s="35"/>
      <c r="BD1103" s="33"/>
      <c r="BE1103" s="33"/>
      <c r="BF1103" s="29"/>
      <c r="BG1103" s="29"/>
      <c r="BH1103" s="12"/>
      <c r="BI1103" s="12"/>
      <c r="BJ1103" s="12"/>
    </row>
    <row r="1104" spans="53:62" x14ac:dyDescent="0.25">
      <c r="BA1104" s="12"/>
      <c r="BB1104" s="30"/>
      <c r="BC1104" s="35"/>
      <c r="BD1104" s="33"/>
      <c r="BE1104" s="33"/>
      <c r="BF1104" s="29"/>
      <c r="BG1104" s="29"/>
      <c r="BH1104" s="12"/>
      <c r="BI1104" s="12"/>
      <c r="BJ1104" s="12"/>
    </row>
    <row r="1105" spans="53:62" x14ac:dyDescent="0.25">
      <c r="BA1105" s="12"/>
      <c r="BB1105" s="30"/>
      <c r="BC1105" s="35"/>
      <c r="BD1105" s="33"/>
      <c r="BE1105" s="33"/>
      <c r="BF1105" s="29"/>
      <c r="BG1105" s="29"/>
      <c r="BH1105" s="12"/>
      <c r="BI1105" s="12"/>
      <c r="BJ1105" s="12"/>
    </row>
    <row r="1106" spans="53:62" x14ac:dyDescent="0.25">
      <c r="BA1106" s="12"/>
      <c r="BB1106" s="30"/>
      <c r="BC1106" s="35"/>
      <c r="BD1106" s="33"/>
      <c r="BE1106" s="33"/>
      <c r="BF1106" s="29"/>
      <c r="BG1106" s="29"/>
      <c r="BH1106" s="12"/>
      <c r="BI1106" s="12"/>
      <c r="BJ1106" s="12"/>
    </row>
    <row r="1107" spans="53:62" x14ac:dyDescent="0.25">
      <c r="BA1107" s="12"/>
      <c r="BB1107" s="30"/>
      <c r="BC1107" s="35"/>
      <c r="BD1107" s="33"/>
      <c r="BE1107" s="33"/>
      <c r="BF1107" s="29"/>
      <c r="BG1107" s="29"/>
      <c r="BH1107" s="12"/>
      <c r="BI1107" s="12"/>
      <c r="BJ1107" s="12"/>
    </row>
    <row r="1108" spans="53:62" x14ac:dyDescent="0.25">
      <c r="BA1108" s="12"/>
      <c r="BB1108" s="30"/>
      <c r="BC1108" s="35"/>
      <c r="BD1108" s="33"/>
      <c r="BE1108" s="33"/>
      <c r="BF1108" s="29"/>
      <c r="BG1108" s="29"/>
      <c r="BH1108" s="12"/>
      <c r="BI1108" s="12"/>
      <c r="BJ1108" s="12"/>
    </row>
    <row r="1109" spans="53:62" x14ac:dyDescent="0.25">
      <c r="BA1109" s="12"/>
      <c r="BB1109" s="30"/>
      <c r="BC1109" s="35"/>
      <c r="BD1109" s="33"/>
      <c r="BE1109" s="33"/>
      <c r="BF1109" s="29"/>
      <c r="BG1109" s="29"/>
      <c r="BH1109" s="12"/>
      <c r="BI1109" s="12"/>
      <c r="BJ1109" s="12"/>
    </row>
    <row r="1110" spans="53:62" x14ac:dyDescent="0.25">
      <c r="BA1110" s="12"/>
      <c r="BB1110" s="30"/>
      <c r="BC1110" s="35"/>
      <c r="BD1110" s="33"/>
      <c r="BE1110" s="33"/>
      <c r="BF1110" s="29"/>
      <c r="BG1110" s="29"/>
      <c r="BH1110" s="12"/>
      <c r="BI1110" s="12"/>
      <c r="BJ1110" s="12"/>
    </row>
    <row r="1111" spans="53:62" x14ac:dyDescent="0.25">
      <c r="BA1111" s="12"/>
      <c r="BB1111" s="30"/>
      <c r="BC1111" s="35"/>
      <c r="BD1111" s="33"/>
      <c r="BE1111" s="33"/>
      <c r="BF1111" s="29"/>
      <c r="BG1111" s="29"/>
      <c r="BH1111" s="12"/>
      <c r="BI1111" s="12"/>
      <c r="BJ1111" s="12"/>
    </row>
    <row r="1112" spans="53:62" x14ac:dyDescent="0.25">
      <c r="BA1112" s="12"/>
      <c r="BB1112" s="30"/>
      <c r="BC1112" s="35"/>
      <c r="BD1112" s="33"/>
      <c r="BE1112" s="33"/>
      <c r="BF1112" s="29"/>
      <c r="BG1112" s="29"/>
      <c r="BH1112" s="12"/>
      <c r="BI1112" s="12"/>
      <c r="BJ1112" s="12"/>
    </row>
    <row r="1113" spans="53:62" x14ac:dyDescent="0.25">
      <c r="BA1113" s="12"/>
      <c r="BB1113" s="30"/>
      <c r="BC1113" s="35"/>
      <c r="BD1113" s="33"/>
      <c r="BE1113" s="33"/>
      <c r="BF1113" s="29"/>
      <c r="BG1113" s="29"/>
      <c r="BH1113" s="12"/>
      <c r="BI1113" s="12"/>
      <c r="BJ1113" s="12"/>
    </row>
    <row r="1114" spans="53:62" x14ac:dyDescent="0.25">
      <c r="BA1114" s="12"/>
      <c r="BB1114" s="30"/>
      <c r="BC1114" s="35"/>
      <c r="BD1114" s="33"/>
      <c r="BE1114" s="33"/>
      <c r="BF1114" s="29"/>
      <c r="BG1114" s="29"/>
      <c r="BH1114" s="12"/>
      <c r="BI1114" s="12"/>
      <c r="BJ1114" s="12"/>
    </row>
    <row r="1115" spans="53:62" x14ac:dyDescent="0.25">
      <c r="BA1115" s="12"/>
      <c r="BB1115" s="30"/>
      <c r="BC1115" s="35"/>
      <c r="BD1115" s="33"/>
      <c r="BE1115" s="33"/>
      <c r="BF1115" s="29"/>
      <c r="BG1115" s="29"/>
      <c r="BH1115" s="12"/>
      <c r="BI1115" s="12"/>
      <c r="BJ1115" s="12"/>
    </row>
    <row r="1116" spans="53:62" x14ac:dyDescent="0.25">
      <c r="BA1116" s="12"/>
      <c r="BB1116" s="30"/>
      <c r="BC1116" s="35"/>
      <c r="BD1116" s="33"/>
      <c r="BE1116" s="33"/>
      <c r="BF1116" s="29"/>
      <c r="BG1116" s="29"/>
      <c r="BH1116" s="12"/>
      <c r="BI1116" s="12"/>
      <c r="BJ1116" s="12"/>
    </row>
    <row r="1117" spans="53:62" x14ac:dyDescent="0.25">
      <c r="BA1117" s="12"/>
      <c r="BB1117" s="30"/>
      <c r="BC1117" s="35"/>
      <c r="BD1117" s="33"/>
      <c r="BE1117" s="33"/>
      <c r="BF1117" s="29"/>
      <c r="BG1117" s="29"/>
      <c r="BH1117" s="12"/>
      <c r="BI1117" s="12"/>
      <c r="BJ1117" s="12"/>
    </row>
    <row r="1118" spans="53:62" x14ac:dyDescent="0.25">
      <c r="BA1118" s="12"/>
      <c r="BB1118" s="30"/>
      <c r="BC1118" s="35"/>
      <c r="BD1118" s="33"/>
      <c r="BE1118" s="33"/>
      <c r="BF1118" s="29"/>
      <c r="BG1118" s="29"/>
      <c r="BH1118" s="12"/>
      <c r="BI1118" s="12"/>
      <c r="BJ1118" s="12"/>
    </row>
    <row r="1119" spans="53:62" x14ac:dyDescent="0.25">
      <c r="BA1119" s="12"/>
      <c r="BB1119" s="30"/>
      <c r="BC1119" s="35"/>
      <c r="BD1119" s="33"/>
      <c r="BE1119" s="33"/>
      <c r="BF1119" s="29"/>
      <c r="BG1119" s="29"/>
      <c r="BH1119" s="12"/>
      <c r="BI1119" s="12"/>
      <c r="BJ1119" s="12"/>
    </row>
    <row r="1120" spans="53:62" x14ac:dyDescent="0.25">
      <c r="BA1120" s="12"/>
      <c r="BB1120" s="30"/>
      <c r="BC1120" s="35"/>
      <c r="BD1120" s="33"/>
      <c r="BE1120" s="33"/>
      <c r="BF1120" s="29"/>
      <c r="BG1120" s="29"/>
      <c r="BH1120" s="12"/>
      <c r="BI1120" s="12"/>
      <c r="BJ1120" s="12"/>
    </row>
    <row r="1121" spans="53:62" x14ac:dyDescent="0.25">
      <c r="BA1121" s="12"/>
      <c r="BB1121" s="30"/>
      <c r="BC1121" s="35"/>
      <c r="BD1121" s="33"/>
      <c r="BE1121" s="33"/>
      <c r="BF1121" s="29"/>
      <c r="BG1121" s="29"/>
      <c r="BH1121" s="12"/>
      <c r="BI1121" s="12"/>
      <c r="BJ1121" s="12"/>
    </row>
    <row r="1122" spans="53:62" x14ac:dyDescent="0.25">
      <c r="BA1122" s="12"/>
      <c r="BB1122" s="30"/>
      <c r="BC1122" s="35"/>
      <c r="BD1122" s="33"/>
      <c r="BE1122" s="33"/>
      <c r="BF1122" s="29"/>
      <c r="BG1122" s="29"/>
      <c r="BH1122" s="12"/>
      <c r="BI1122" s="12"/>
      <c r="BJ1122" s="12"/>
    </row>
    <row r="1123" spans="53:62" x14ac:dyDescent="0.25">
      <c r="BA1123" s="12"/>
      <c r="BB1123" s="30"/>
      <c r="BC1123" s="35"/>
      <c r="BD1123" s="33"/>
      <c r="BE1123" s="33"/>
      <c r="BF1123" s="29"/>
      <c r="BG1123" s="29"/>
      <c r="BH1123" s="12"/>
      <c r="BI1123" s="12"/>
      <c r="BJ1123" s="12"/>
    </row>
    <row r="1124" spans="53:62" x14ac:dyDescent="0.25">
      <c r="BA1124" s="12"/>
      <c r="BB1124" s="30"/>
      <c r="BC1124" s="35"/>
      <c r="BD1124" s="33"/>
      <c r="BE1124" s="33"/>
      <c r="BF1124" s="29"/>
      <c r="BG1124" s="29"/>
      <c r="BH1124" s="12"/>
      <c r="BI1124" s="12"/>
      <c r="BJ1124" s="12"/>
    </row>
    <row r="1125" spans="53:62" x14ac:dyDescent="0.25">
      <c r="BA1125" s="12"/>
      <c r="BB1125" s="30"/>
      <c r="BC1125" s="35"/>
      <c r="BD1125" s="33"/>
      <c r="BE1125" s="33"/>
      <c r="BF1125" s="29"/>
      <c r="BG1125" s="29"/>
      <c r="BH1125" s="12"/>
      <c r="BI1125" s="12"/>
      <c r="BJ1125" s="12"/>
    </row>
    <row r="1126" spans="53:62" x14ac:dyDescent="0.25">
      <c r="BA1126" s="12"/>
      <c r="BB1126" s="30"/>
      <c r="BC1126" s="35"/>
      <c r="BD1126" s="33"/>
      <c r="BE1126" s="33"/>
      <c r="BF1126" s="29"/>
      <c r="BG1126" s="29"/>
      <c r="BH1126" s="12"/>
      <c r="BI1126" s="12"/>
      <c r="BJ1126" s="12"/>
    </row>
    <row r="1127" spans="53:62" x14ac:dyDescent="0.25">
      <c r="BA1127" s="12"/>
      <c r="BB1127" s="30"/>
      <c r="BC1127" s="35"/>
      <c r="BD1127" s="33"/>
      <c r="BE1127" s="33"/>
      <c r="BF1127" s="29"/>
      <c r="BG1127" s="29"/>
      <c r="BH1127" s="12"/>
      <c r="BI1127" s="12"/>
      <c r="BJ1127" s="12"/>
    </row>
    <row r="1128" spans="53:62" x14ac:dyDescent="0.25">
      <c r="BA1128" s="12"/>
      <c r="BB1128" s="30"/>
      <c r="BC1128" s="35"/>
      <c r="BD1128" s="33"/>
      <c r="BE1128" s="33"/>
      <c r="BF1128" s="29"/>
      <c r="BG1128" s="29"/>
      <c r="BH1128" s="12"/>
      <c r="BI1128" s="12"/>
      <c r="BJ1128" s="12"/>
    </row>
    <row r="1129" spans="53:62" x14ac:dyDescent="0.25">
      <c r="BA1129" s="12"/>
      <c r="BB1129" s="30"/>
      <c r="BC1129" s="35"/>
      <c r="BD1129" s="33"/>
      <c r="BE1129" s="33"/>
      <c r="BF1129" s="29"/>
      <c r="BG1129" s="29"/>
      <c r="BH1129" s="12"/>
      <c r="BI1129" s="12"/>
      <c r="BJ1129" s="12"/>
    </row>
    <row r="1130" spans="53:62" x14ac:dyDescent="0.25">
      <c r="BA1130" s="12"/>
      <c r="BB1130" s="30"/>
      <c r="BC1130" s="35"/>
      <c r="BD1130" s="33"/>
      <c r="BE1130" s="33"/>
      <c r="BF1130" s="29"/>
      <c r="BG1130" s="29"/>
      <c r="BH1130" s="12"/>
      <c r="BI1130" s="12"/>
      <c r="BJ1130" s="12"/>
    </row>
    <row r="1131" spans="53:62" x14ac:dyDescent="0.25">
      <c r="BA1131" s="12"/>
      <c r="BB1131" s="30"/>
      <c r="BC1131" s="35"/>
      <c r="BD1131" s="33"/>
      <c r="BE1131" s="33"/>
      <c r="BF1131" s="29"/>
      <c r="BG1131" s="29"/>
      <c r="BH1131" s="12"/>
      <c r="BI1131" s="12"/>
      <c r="BJ1131" s="12"/>
    </row>
    <row r="1132" spans="53:62" x14ac:dyDescent="0.25">
      <c r="BA1132" s="12"/>
      <c r="BB1132" s="30"/>
      <c r="BC1132" s="35"/>
      <c r="BD1132" s="33"/>
      <c r="BE1132" s="33"/>
      <c r="BF1132" s="29"/>
      <c r="BG1132" s="29"/>
      <c r="BH1132" s="12"/>
      <c r="BI1132" s="12"/>
      <c r="BJ1132" s="12"/>
    </row>
    <row r="1133" spans="53:62" x14ac:dyDescent="0.25">
      <c r="BA1133" s="12"/>
      <c r="BB1133" s="30"/>
      <c r="BC1133" s="35"/>
      <c r="BD1133" s="33"/>
      <c r="BE1133" s="33"/>
      <c r="BF1133" s="29"/>
      <c r="BG1133" s="29"/>
      <c r="BH1133" s="12"/>
      <c r="BI1133" s="12"/>
      <c r="BJ1133" s="12"/>
    </row>
    <row r="1134" spans="53:62" x14ac:dyDescent="0.25">
      <c r="BA1134" s="12"/>
      <c r="BB1134" s="30"/>
      <c r="BC1134" s="35"/>
      <c r="BD1134" s="33"/>
      <c r="BE1134" s="33"/>
      <c r="BF1134" s="29"/>
      <c r="BG1134" s="29"/>
      <c r="BH1134" s="12"/>
      <c r="BI1134" s="12"/>
      <c r="BJ1134" s="12"/>
    </row>
    <row r="1135" spans="53:62" x14ac:dyDescent="0.25">
      <c r="BA1135" s="12"/>
      <c r="BB1135" s="30"/>
      <c r="BC1135" s="35"/>
      <c r="BD1135" s="33"/>
      <c r="BE1135" s="33"/>
      <c r="BF1135" s="29"/>
      <c r="BG1135" s="29"/>
      <c r="BH1135" s="12"/>
      <c r="BI1135" s="12"/>
      <c r="BJ1135" s="12"/>
    </row>
    <row r="1136" spans="53:62" x14ac:dyDescent="0.25">
      <c r="BA1136" s="12"/>
      <c r="BB1136" s="30"/>
      <c r="BC1136" s="35"/>
      <c r="BD1136" s="33"/>
      <c r="BE1136" s="33"/>
      <c r="BF1136" s="29"/>
      <c r="BG1136" s="29"/>
      <c r="BH1136" s="12"/>
      <c r="BI1136" s="12"/>
      <c r="BJ1136" s="12"/>
    </row>
    <row r="1137" spans="53:62" x14ac:dyDescent="0.25">
      <c r="BA1137" s="12"/>
      <c r="BB1137" s="30"/>
      <c r="BC1137" s="35"/>
      <c r="BD1137" s="33"/>
      <c r="BE1137" s="33"/>
      <c r="BF1137" s="29"/>
      <c r="BG1137" s="29"/>
      <c r="BH1137" s="12"/>
      <c r="BI1137" s="12"/>
      <c r="BJ1137" s="12"/>
    </row>
    <row r="1138" spans="53:62" x14ac:dyDescent="0.25">
      <c r="BA1138" s="12"/>
      <c r="BB1138" s="30"/>
      <c r="BC1138" s="35"/>
      <c r="BD1138" s="33"/>
      <c r="BE1138" s="33"/>
      <c r="BF1138" s="29"/>
      <c r="BG1138" s="29"/>
      <c r="BH1138" s="12"/>
      <c r="BI1138" s="12"/>
      <c r="BJ1138" s="12"/>
    </row>
    <row r="1139" spans="53:62" x14ac:dyDescent="0.25">
      <c r="BA1139" s="12"/>
      <c r="BB1139" s="30"/>
      <c r="BC1139" s="35"/>
      <c r="BD1139" s="33"/>
      <c r="BE1139" s="33"/>
      <c r="BF1139" s="29"/>
      <c r="BG1139" s="29"/>
      <c r="BH1139" s="12"/>
      <c r="BI1139" s="12"/>
      <c r="BJ1139" s="12"/>
    </row>
    <row r="1140" spans="53:62" x14ac:dyDescent="0.25">
      <c r="BA1140" s="12"/>
      <c r="BB1140" s="30"/>
      <c r="BC1140" s="35"/>
      <c r="BD1140" s="33"/>
      <c r="BE1140" s="33"/>
      <c r="BF1140" s="29"/>
      <c r="BG1140" s="29"/>
      <c r="BH1140" s="12"/>
      <c r="BI1140" s="12"/>
      <c r="BJ1140" s="12"/>
    </row>
    <row r="1141" spans="53:62" x14ac:dyDescent="0.25">
      <c r="BA1141" s="12"/>
      <c r="BB1141" s="30"/>
      <c r="BC1141" s="35"/>
      <c r="BD1141" s="33"/>
      <c r="BE1141" s="33"/>
      <c r="BF1141" s="29"/>
      <c r="BG1141" s="29"/>
      <c r="BH1141" s="12"/>
      <c r="BI1141" s="12"/>
      <c r="BJ1141" s="12"/>
    </row>
    <row r="1142" spans="53:62" x14ac:dyDescent="0.25">
      <c r="BA1142" s="12"/>
      <c r="BB1142" s="30"/>
      <c r="BC1142" s="35"/>
      <c r="BD1142" s="33"/>
      <c r="BE1142" s="33"/>
      <c r="BF1142" s="29"/>
      <c r="BG1142" s="29"/>
      <c r="BH1142" s="12"/>
      <c r="BI1142" s="12"/>
      <c r="BJ1142" s="12"/>
    </row>
    <row r="1143" spans="53:62" x14ac:dyDescent="0.25">
      <c r="BA1143" s="12"/>
      <c r="BB1143" s="30"/>
      <c r="BC1143" s="35"/>
      <c r="BD1143" s="33"/>
      <c r="BE1143" s="33"/>
      <c r="BF1143" s="29"/>
      <c r="BG1143" s="29"/>
      <c r="BH1143" s="12"/>
      <c r="BI1143" s="12"/>
      <c r="BJ1143" s="12"/>
    </row>
    <row r="1144" spans="53:62" x14ac:dyDescent="0.25">
      <c r="BA1144" s="12"/>
      <c r="BB1144" s="30"/>
      <c r="BC1144" s="35"/>
      <c r="BD1144" s="33"/>
      <c r="BE1144" s="33"/>
      <c r="BF1144" s="29"/>
      <c r="BG1144" s="29"/>
      <c r="BH1144" s="12"/>
      <c r="BI1144" s="12"/>
      <c r="BJ1144" s="12"/>
    </row>
    <row r="1145" spans="53:62" x14ac:dyDescent="0.25">
      <c r="BA1145" s="12"/>
      <c r="BB1145" s="30"/>
      <c r="BC1145" s="35"/>
      <c r="BD1145" s="33"/>
      <c r="BE1145" s="33"/>
      <c r="BF1145" s="29"/>
      <c r="BG1145" s="29"/>
      <c r="BH1145" s="12"/>
      <c r="BI1145" s="12"/>
      <c r="BJ1145" s="12"/>
    </row>
    <row r="1146" spans="53:62" x14ac:dyDescent="0.25">
      <c r="BA1146" s="12"/>
      <c r="BB1146" s="30"/>
      <c r="BC1146" s="35"/>
      <c r="BD1146" s="33"/>
      <c r="BE1146" s="33"/>
      <c r="BF1146" s="29"/>
      <c r="BG1146" s="29"/>
      <c r="BH1146" s="12"/>
      <c r="BI1146" s="12"/>
      <c r="BJ1146" s="12"/>
    </row>
    <row r="1147" spans="53:62" x14ac:dyDescent="0.25">
      <c r="BA1147" s="12"/>
      <c r="BB1147" s="30"/>
      <c r="BC1147" s="35"/>
      <c r="BD1147" s="33"/>
      <c r="BE1147" s="33"/>
      <c r="BF1147" s="29"/>
      <c r="BG1147" s="29"/>
      <c r="BH1147" s="12"/>
      <c r="BI1147" s="12"/>
      <c r="BJ1147" s="12"/>
    </row>
    <row r="1148" spans="53:62" x14ac:dyDescent="0.25">
      <c r="BA1148" s="12"/>
      <c r="BB1148" s="30"/>
      <c r="BC1148" s="35"/>
      <c r="BD1148" s="33"/>
      <c r="BE1148" s="33"/>
      <c r="BF1148" s="29"/>
      <c r="BG1148" s="29"/>
      <c r="BH1148" s="12"/>
      <c r="BI1148" s="12"/>
      <c r="BJ1148" s="12"/>
    </row>
    <row r="1149" spans="53:62" x14ac:dyDescent="0.25">
      <c r="BA1149" s="12"/>
      <c r="BB1149" s="30"/>
      <c r="BC1149" s="35"/>
      <c r="BD1149" s="33"/>
      <c r="BE1149" s="33"/>
      <c r="BF1149" s="29"/>
      <c r="BG1149" s="29"/>
      <c r="BH1149" s="12"/>
      <c r="BI1149" s="12"/>
      <c r="BJ1149" s="12"/>
    </row>
    <row r="1150" spans="53:62" x14ac:dyDescent="0.25">
      <c r="BA1150" s="12"/>
      <c r="BB1150" s="30"/>
      <c r="BC1150" s="35"/>
      <c r="BD1150" s="33"/>
      <c r="BE1150" s="33"/>
      <c r="BF1150" s="29"/>
      <c r="BG1150" s="29"/>
      <c r="BH1150" s="12"/>
      <c r="BI1150" s="12"/>
      <c r="BJ1150" s="12"/>
    </row>
    <row r="1151" spans="53:62" x14ac:dyDescent="0.25">
      <c r="BA1151" s="12"/>
      <c r="BB1151" s="30"/>
      <c r="BC1151" s="35"/>
      <c r="BD1151" s="33"/>
      <c r="BE1151" s="33"/>
      <c r="BF1151" s="29"/>
      <c r="BG1151" s="29"/>
      <c r="BH1151" s="12"/>
      <c r="BI1151" s="12"/>
      <c r="BJ1151" s="12"/>
    </row>
    <row r="1152" spans="53:62" x14ac:dyDescent="0.25">
      <c r="BA1152" s="12"/>
      <c r="BB1152" s="30"/>
      <c r="BC1152" s="35"/>
      <c r="BD1152" s="33"/>
      <c r="BE1152" s="33"/>
      <c r="BF1152" s="29"/>
      <c r="BG1152" s="29"/>
      <c r="BH1152" s="12"/>
      <c r="BI1152" s="12"/>
      <c r="BJ1152" s="12"/>
    </row>
    <row r="1153" spans="53:62" x14ac:dyDescent="0.25">
      <c r="BA1153" s="12"/>
      <c r="BB1153" s="30"/>
      <c r="BC1153" s="35"/>
      <c r="BD1153" s="33"/>
      <c r="BE1153" s="33"/>
      <c r="BF1153" s="29"/>
      <c r="BG1153" s="29"/>
      <c r="BH1153" s="12"/>
      <c r="BI1153" s="12"/>
      <c r="BJ1153" s="12"/>
    </row>
    <row r="1154" spans="53:62" x14ac:dyDescent="0.25">
      <c r="BA1154" s="12"/>
      <c r="BB1154" s="30"/>
      <c r="BC1154" s="35"/>
      <c r="BD1154" s="33"/>
      <c r="BE1154" s="33"/>
      <c r="BF1154" s="29"/>
      <c r="BG1154" s="29"/>
      <c r="BH1154" s="12"/>
      <c r="BI1154" s="12"/>
      <c r="BJ1154" s="12"/>
    </row>
    <row r="1155" spans="53:62" x14ac:dyDescent="0.25">
      <c r="BA1155" s="12"/>
      <c r="BB1155" s="30"/>
      <c r="BC1155" s="35"/>
      <c r="BD1155" s="33"/>
      <c r="BE1155" s="33"/>
      <c r="BF1155" s="29"/>
      <c r="BG1155" s="29"/>
      <c r="BH1155" s="12"/>
      <c r="BI1155" s="12"/>
      <c r="BJ1155" s="12"/>
    </row>
    <row r="1156" spans="53:62" x14ac:dyDescent="0.25">
      <c r="BA1156" s="12"/>
      <c r="BB1156" s="30"/>
      <c r="BC1156" s="35"/>
      <c r="BD1156" s="33"/>
      <c r="BE1156" s="33"/>
      <c r="BF1156" s="29"/>
      <c r="BG1156" s="29"/>
      <c r="BH1156" s="12"/>
      <c r="BI1156" s="12"/>
      <c r="BJ1156" s="12"/>
    </row>
    <row r="1157" spans="53:62" x14ac:dyDescent="0.25">
      <c r="BA1157" s="12"/>
      <c r="BB1157" s="30"/>
      <c r="BC1157" s="35"/>
      <c r="BD1157" s="33"/>
      <c r="BE1157" s="33"/>
      <c r="BF1157" s="29"/>
      <c r="BG1157" s="29"/>
      <c r="BH1157" s="12"/>
      <c r="BI1157" s="12"/>
      <c r="BJ1157" s="12"/>
    </row>
    <row r="1158" spans="53:62" x14ac:dyDescent="0.25">
      <c r="BA1158" s="12"/>
      <c r="BB1158" s="30"/>
      <c r="BC1158" s="35"/>
      <c r="BD1158" s="33"/>
      <c r="BE1158" s="33"/>
      <c r="BF1158" s="29"/>
      <c r="BG1158" s="29"/>
      <c r="BH1158" s="12"/>
      <c r="BI1158" s="12"/>
      <c r="BJ1158" s="12"/>
    </row>
    <row r="1159" spans="53:62" x14ac:dyDescent="0.25">
      <c r="BA1159" s="12"/>
      <c r="BB1159" s="30"/>
      <c r="BC1159" s="35"/>
      <c r="BD1159" s="33"/>
      <c r="BE1159" s="33"/>
      <c r="BF1159" s="29"/>
      <c r="BG1159" s="29"/>
      <c r="BH1159" s="12"/>
      <c r="BI1159" s="12"/>
      <c r="BJ1159" s="12"/>
    </row>
    <row r="1160" spans="53:62" x14ac:dyDescent="0.25">
      <c r="BA1160" s="12"/>
      <c r="BB1160" s="30"/>
      <c r="BC1160" s="35"/>
      <c r="BD1160" s="33"/>
      <c r="BE1160" s="33"/>
      <c r="BF1160" s="29"/>
      <c r="BG1160" s="29"/>
      <c r="BH1160" s="12"/>
      <c r="BI1160" s="12"/>
      <c r="BJ1160" s="12"/>
    </row>
    <row r="1161" spans="53:62" x14ac:dyDescent="0.25">
      <c r="BA1161" s="12"/>
      <c r="BB1161" s="30"/>
      <c r="BC1161" s="35"/>
      <c r="BD1161" s="33"/>
      <c r="BE1161" s="33"/>
      <c r="BF1161" s="29"/>
      <c r="BG1161" s="29"/>
      <c r="BH1161" s="12"/>
      <c r="BI1161" s="12"/>
      <c r="BJ1161" s="12"/>
    </row>
    <row r="1162" spans="53:62" x14ac:dyDescent="0.25">
      <c r="BA1162" s="12"/>
      <c r="BB1162" s="30"/>
      <c r="BC1162" s="35"/>
      <c r="BD1162" s="33"/>
      <c r="BE1162" s="33"/>
      <c r="BF1162" s="29"/>
      <c r="BG1162" s="29"/>
      <c r="BH1162" s="12"/>
      <c r="BI1162" s="12"/>
      <c r="BJ1162" s="12"/>
    </row>
    <row r="1163" spans="53:62" x14ac:dyDescent="0.25">
      <c r="BA1163" s="12"/>
      <c r="BB1163" s="30"/>
      <c r="BC1163" s="35"/>
      <c r="BD1163" s="33"/>
      <c r="BE1163" s="33"/>
      <c r="BF1163" s="29"/>
      <c r="BG1163" s="29"/>
      <c r="BH1163" s="12"/>
      <c r="BI1163" s="12"/>
      <c r="BJ1163" s="12"/>
    </row>
    <row r="1164" spans="53:62" x14ac:dyDescent="0.25">
      <c r="BA1164" s="12"/>
      <c r="BB1164" s="30"/>
      <c r="BC1164" s="35"/>
      <c r="BD1164" s="33"/>
      <c r="BE1164" s="33"/>
      <c r="BF1164" s="29"/>
      <c r="BG1164" s="29"/>
      <c r="BH1164" s="12"/>
      <c r="BI1164" s="12"/>
      <c r="BJ1164" s="12"/>
    </row>
    <row r="1165" spans="53:62" x14ac:dyDescent="0.25">
      <c r="BA1165" s="12"/>
      <c r="BB1165" s="30"/>
      <c r="BC1165" s="35"/>
      <c r="BD1165" s="33"/>
      <c r="BE1165" s="33"/>
      <c r="BF1165" s="29"/>
      <c r="BG1165" s="29"/>
      <c r="BH1165" s="12"/>
      <c r="BI1165" s="12"/>
      <c r="BJ1165" s="12"/>
    </row>
    <row r="1166" spans="53:62" x14ac:dyDescent="0.25">
      <c r="BA1166" s="12"/>
      <c r="BB1166" s="30"/>
      <c r="BC1166" s="35"/>
      <c r="BD1166" s="33"/>
      <c r="BE1166" s="33"/>
      <c r="BF1166" s="29"/>
      <c r="BG1166" s="29"/>
      <c r="BH1166" s="12"/>
      <c r="BI1166" s="12"/>
      <c r="BJ1166" s="12"/>
    </row>
    <row r="1167" spans="53:62" x14ac:dyDescent="0.25">
      <c r="BA1167" s="12"/>
      <c r="BB1167" s="30"/>
      <c r="BC1167" s="35"/>
      <c r="BD1167" s="33"/>
      <c r="BE1167" s="33"/>
      <c r="BF1167" s="29"/>
      <c r="BG1167" s="29"/>
      <c r="BH1167" s="12"/>
      <c r="BI1167" s="12"/>
      <c r="BJ1167" s="12"/>
    </row>
    <row r="1168" spans="53:62" x14ac:dyDescent="0.25">
      <c r="BA1168" s="12"/>
      <c r="BB1168" s="30"/>
      <c r="BC1168" s="35"/>
      <c r="BD1168" s="33"/>
      <c r="BE1168" s="33"/>
      <c r="BF1168" s="29"/>
      <c r="BG1168" s="29"/>
      <c r="BH1168" s="12"/>
      <c r="BI1168" s="12"/>
      <c r="BJ1168" s="12"/>
    </row>
    <row r="1169" spans="53:62" x14ac:dyDescent="0.25">
      <c r="BA1169" s="12"/>
      <c r="BB1169" s="30"/>
      <c r="BC1169" s="35"/>
      <c r="BD1169" s="33"/>
      <c r="BE1169" s="33"/>
      <c r="BF1169" s="29"/>
      <c r="BG1169" s="29"/>
      <c r="BH1169" s="12"/>
      <c r="BI1169" s="12"/>
      <c r="BJ1169" s="12"/>
    </row>
    <row r="1170" spans="53:62" x14ac:dyDescent="0.25">
      <c r="BA1170" s="12"/>
      <c r="BB1170" s="30"/>
      <c r="BC1170" s="35"/>
      <c r="BD1170" s="33"/>
      <c r="BE1170" s="33"/>
      <c r="BF1170" s="29"/>
      <c r="BG1170" s="29"/>
      <c r="BH1170" s="12"/>
      <c r="BI1170" s="12"/>
      <c r="BJ1170" s="12"/>
    </row>
    <row r="1171" spans="53:62" x14ac:dyDescent="0.25">
      <c r="BA1171" s="12"/>
      <c r="BB1171" s="30"/>
      <c r="BC1171" s="35"/>
      <c r="BD1171" s="33"/>
      <c r="BE1171" s="33"/>
      <c r="BF1171" s="29"/>
      <c r="BG1171" s="29"/>
      <c r="BH1171" s="12"/>
      <c r="BI1171" s="12"/>
      <c r="BJ1171" s="12"/>
    </row>
    <row r="1172" spans="53:62" x14ac:dyDescent="0.25">
      <c r="BA1172" s="12"/>
      <c r="BB1172" s="30"/>
      <c r="BC1172" s="35"/>
      <c r="BD1172" s="33"/>
      <c r="BE1172" s="33"/>
      <c r="BF1172" s="29"/>
      <c r="BG1172" s="29"/>
      <c r="BH1172" s="12"/>
      <c r="BI1172" s="12"/>
      <c r="BJ1172" s="12"/>
    </row>
    <row r="1173" spans="53:62" x14ac:dyDescent="0.25">
      <c r="BA1173" s="12"/>
      <c r="BB1173" s="30"/>
      <c r="BC1173" s="35"/>
      <c r="BD1173" s="33"/>
      <c r="BE1173" s="33"/>
      <c r="BF1173" s="29"/>
      <c r="BG1173" s="29"/>
      <c r="BH1173" s="12"/>
      <c r="BI1173" s="12"/>
      <c r="BJ1173" s="12"/>
    </row>
    <row r="1174" spans="53:62" x14ac:dyDescent="0.25">
      <c r="BA1174" s="12"/>
      <c r="BB1174" s="30"/>
      <c r="BC1174" s="35"/>
      <c r="BD1174" s="33"/>
      <c r="BE1174" s="33"/>
      <c r="BF1174" s="29"/>
      <c r="BG1174" s="29"/>
      <c r="BH1174" s="12"/>
      <c r="BI1174" s="12"/>
      <c r="BJ1174" s="12"/>
    </row>
    <row r="1175" spans="53:62" x14ac:dyDescent="0.25">
      <c r="BA1175" s="12"/>
      <c r="BB1175" s="30"/>
      <c r="BC1175" s="35"/>
      <c r="BD1175" s="33"/>
      <c r="BE1175" s="33"/>
      <c r="BF1175" s="29"/>
      <c r="BG1175" s="29"/>
      <c r="BH1175" s="12"/>
      <c r="BI1175" s="12"/>
      <c r="BJ1175" s="12"/>
    </row>
    <row r="1176" spans="53:62" x14ac:dyDescent="0.25">
      <c r="BA1176" s="12"/>
      <c r="BB1176" s="30"/>
      <c r="BC1176" s="35"/>
      <c r="BD1176" s="33"/>
      <c r="BE1176" s="33"/>
      <c r="BF1176" s="29"/>
      <c r="BG1176" s="29"/>
      <c r="BH1176" s="12"/>
      <c r="BI1176" s="12"/>
      <c r="BJ1176" s="12"/>
    </row>
    <row r="1177" spans="53:62" x14ac:dyDescent="0.25">
      <c r="BA1177" s="12"/>
      <c r="BB1177" s="30"/>
      <c r="BC1177" s="35"/>
      <c r="BD1177" s="33"/>
      <c r="BE1177" s="33"/>
      <c r="BF1177" s="29"/>
      <c r="BG1177" s="29"/>
      <c r="BH1177" s="12"/>
      <c r="BI1177" s="12"/>
      <c r="BJ1177" s="12"/>
    </row>
    <row r="1178" spans="53:62" x14ac:dyDescent="0.25">
      <c r="BA1178" s="12"/>
      <c r="BB1178" s="30"/>
      <c r="BC1178" s="35"/>
      <c r="BD1178" s="33"/>
      <c r="BE1178" s="33"/>
      <c r="BF1178" s="29"/>
      <c r="BG1178" s="29"/>
      <c r="BH1178" s="12"/>
      <c r="BI1178" s="12"/>
      <c r="BJ1178" s="12"/>
    </row>
    <row r="1179" spans="53:62" x14ac:dyDescent="0.25">
      <c r="BA1179" s="12"/>
      <c r="BB1179" s="30"/>
      <c r="BC1179" s="35"/>
      <c r="BD1179" s="33"/>
      <c r="BE1179" s="33"/>
      <c r="BF1179" s="29"/>
      <c r="BG1179" s="29"/>
      <c r="BH1179" s="12"/>
      <c r="BI1179" s="12"/>
      <c r="BJ1179" s="12"/>
    </row>
    <row r="1180" spans="53:62" x14ac:dyDescent="0.25">
      <c r="BA1180" s="12"/>
      <c r="BB1180" s="30"/>
      <c r="BC1180" s="35"/>
      <c r="BD1180" s="33"/>
      <c r="BE1180" s="33"/>
      <c r="BF1180" s="29"/>
      <c r="BG1180" s="29"/>
      <c r="BH1180" s="12"/>
      <c r="BI1180" s="12"/>
      <c r="BJ1180" s="12"/>
    </row>
    <row r="1181" spans="53:62" x14ac:dyDescent="0.25">
      <c r="BA1181" s="12"/>
      <c r="BB1181" s="30"/>
      <c r="BC1181" s="35"/>
      <c r="BD1181" s="33"/>
      <c r="BE1181" s="33"/>
      <c r="BF1181" s="29"/>
      <c r="BG1181" s="29"/>
      <c r="BH1181" s="12"/>
      <c r="BI1181" s="12"/>
      <c r="BJ1181" s="12"/>
    </row>
    <row r="1182" spans="53:62" x14ac:dyDescent="0.25">
      <c r="BA1182" s="12"/>
      <c r="BB1182" s="30"/>
      <c r="BC1182" s="35"/>
      <c r="BD1182" s="33"/>
      <c r="BE1182" s="33"/>
      <c r="BF1182" s="29"/>
      <c r="BG1182" s="29"/>
      <c r="BH1182" s="12"/>
      <c r="BI1182" s="12"/>
      <c r="BJ1182" s="12"/>
    </row>
    <row r="1183" spans="53:62" x14ac:dyDescent="0.25">
      <c r="BA1183" s="12"/>
      <c r="BB1183" s="30"/>
      <c r="BC1183" s="35"/>
      <c r="BD1183" s="33"/>
      <c r="BE1183" s="33"/>
      <c r="BF1183" s="29"/>
      <c r="BG1183" s="29"/>
      <c r="BH1183" s="12"/>
      <c r="BI1183" s="12"/>
      <c r="BJ1183" s="12"/>
    </row>
    <row r="1184" spans="53:62" x14ac:dyDescent="0.25">
      <c r="BA1184" s="12"/>
      <c r="BB1184" s="30"/>
      <c r="BC1184" s="35"/>
      <c r="BD1184" s="33"/>
      <c r="BE1184" s="33"/>
      <c r="BF1184" s="29"/>
      <c r="BG1184" s="29"/>
      <c r="BH1184" s="12"/>
      <c r="BI1184" s="12"/>
      <c r="BJ1184" s="12"/>
    </row>
    <row r="1185" spans="53:62" x14ac:dyDescent="0.25">
      <c r="BA1185" s="12"/>
      <c r="BB1185" s="30"/>
      <c r="BC1185" s="35"/>
      <c r="BD1185" s="33"/>
      <c r="BE1185" s="33"/>
      <c r="BF1185" s="29"/>
      <c r="BG1185" s="29"/>
      <c r="BH1185" s="12"/>
      <c r="BI1185" s="12"/>
      <c r="BJ1185" s="12"/>
    </row>
    <row r="1186" spans="53:62" x14ac:dyDescent="0.25">
      <c r="BA1186" s="12"/>
      <c r="BB1186" s="30"/>
      <c r="BC1186" s="35"/>
      <c r="BD1186" s="33"/>
      <c r="BE1186" s="33"/>
      <c r="BF1186" s="29"/>
      <c r="BG1186" s="29"/>
      <c r="BH1186" s="12"/>
      <c r="BI1186" s="12"/>
      <c r="BJ1186" s="12"/>
    </row>
    <row r="1187" spans="53:62" x14ac:dyDescent="0.25">
      <c r="BA1187" s="12"/>
      <c r="BB1187" s="30"/>
      <c r="BC1187" s="35"/>
      <c r="BD1187" s="33"/>
      <c r="BE1187" s="33"/>
      <c r="BF1187" s="29"/>
      <c r="BG1187" s="29"/>
      <c r="BH1187" s="12"/>
      <c r="BI1187" s="12"/>
      <c r="BJ1187" s="12"/>
    </row>
    <row r="1188" spans="53:62" x14ac:dyDescent="0.25">
      <c r="BA1188" s="12"/>
      <c r="BB1188" s="30"/>
      <c r="BC1188" s="35"/>
      <c r="BD1188" s="33"/>
      <c r="BE1188" s="33"/>
      <c r="BF1188" s="29"/>
      <c r="BG1188" s="29"/>
      <c r="BH1188" s="12"/>
      <c r="BI1188" s="12"/>
      <c r="BJ1188" s="12"/>
    </row>
    <row r="1189" spans="53:62" x14ac:dyDescent="0.25">
      <c r="BA1189" s="12"/>
      <c r="BB1189" s="30"/>
      <c r="BC1189" s="35"/>
      <c r="BD1189" s="33"/>
      <c r="BE1189" s="33"/>
      <c r="BF1189" s="29"/>
      <c r="BG1189" s="29"/>
      <c r="BH1189" s="12"/>
      <c r="BI1189" s="12"/>
      <c r="BJ1189" s="12"/>
    </row>
    <row r="1190" spans="53:62" x14ac:dyDescent="0.25">
      <c r="BA1190" s="12"/>
      <c r="BB1190" s="30"/>
      <c r="BC1190" s="35"/>
      <c r="BD1190" s="33"/>
      <c r="BE1190" s="33"/>
      <c r="BF1190" s="29"/>
      <c r="BG1190" s="29"/>
      <c r="BH1190" s="12"/>
      <c r="BI1190" s="12"/>
      <c r="BJ1190" s="12"/>
    </row>
    <row r="1191" spans="53:62" x14ac:dyDescent="0.25">
      <c r="BA1191" s="12"/>
      <c r="BB1191" s="30"/>
      <c r="BC1191" s="35"/>
      <c r="BD1191" s="33"/>
      <c r="BE1191" s="33"/>
      <c r="BF1191" s="29"/>
      <c r="BG1191" s="29"/>
      <c r="BH1191" s="12"/>
      <c r="BI1191" s="12"/>
      <c r="BJ1191" s="12"/>
    </row>
    <row r="1192" spans="53:62" x14ac:dyDescent="0.25">
      <c r="BA1192" s="12"/>
      <c r="BB1192" s="30"/>
      <c r="BC1192" s="35"/>
      <c r="BD1192" s="33"/>
      <c r="BE1192" s="33"/>
      <c r="BF1192" s="29"/>
      <c r="BG1192" s="29"/>
      <c r="BH1192" s="12"/>
      <c r="BI1192" s="12"/>
      <c r="BJ1192" s="12"/>
    </row>
    <row r="1193" spans="53:62" x14ac:dyDescent="0.25">
      <c r="BA1193" s="12"/>
      <c r="BB1193" s="30"/>
      <c r="BC1193" s="35"/>
      <c r="BD1193" s="33"/>
      <c r="BE1193" s="33"/>
      <c r="BF1193" s="29"/>
      <c r="BG1193" s="29"/>
      <c r="BH1193" s="12"/>
      <c r="BI1193" s="12"/>
      <c r="BJ1193" s="12"/>
    </row>
    <row r="1194" spans="53:62" x14ac:dyDescent="0.25">
      <c r="BA1194" s="12"/>
      <c r="BB1194" s="30"/>
      <c r="BC1194" s="35"/>
      <c r="BD1194" s="33"/>
      <c r="BE1194" s="33"/>
      <c r="BF1194" s="29"/>
      <c r="BG1194" s="29"/>
      <c r="BH1194" s="12"/>
      <c r="BI1194" s="12"/>
      <c r="BJ1194" s="12"/>
    </row>
    <row r="1195" spans="53:62" x14ac:dyDescent="0.25">
      <c r="BA1195" s="12"/>
      <c r="BB1195" s="30"/>
      <c r="BC1195" s="35"/>
      <c r="BD1195" s="33"/>
      <c r="BE1195" s="33"/>
      <c r="BF1195" s="29"/>
      <c r="BG1195" s="29"/>
      <c r="BH1195" s="12"/>
      <c r="BI1195" s="12"/>
      <c r="BJ1195" s="12"/>
    </row>
    <row r="1196" spans="53:62" x14ac:dyDescent="0.25">
      <c r="BA1196" s="12"/>
      <c r="BB1196" s="30"/>
      <c r="BC1196" s="35"/>
      <c r="BD1196" s="33"/>
      <c r="BE1196" s="33"/>
      <c r="BF1196" s="29"/>
      <c r="BG1196" s="29"/>
      <c r="BH1196" s="12"/>
      <c r="BI1196" s="12"/>
      <c r="BJ1196" s="12"/>
    </row>
    <row r="1197" spans="53:62" x14ac:dyDescent="0.25">
      <c r="BA1197" s="12"/>
      <c r="BB1197" s="30"/>
      <c r="BC1197" s="35"/>
      <c r="BD1197" s="33"/>
      <c r="BE1197" s="33"/>
      <c r="BF1197" s="29"/>
      <c r="BG1197" s="29"/>
      <c r="BH1197" s="12"/>
      <c r="BI1197" s="12"/>
      <c r="BJ1197" s="12"/>
    </row>
    <row r="1198" spans="53:62" x14ac:dyDescent="0.25">
      <c r="BA1198" s="12"/>
      <c r="BB1198" s="30"/>
      <c r="BC1198" s="35"/>
      <c r="BD1198" s="33"/>
      <c r="BE1198" s="33"/>
      <c r="BF1198" s="29"/>
      <c r="BG1198" s="29"/>
      <c r="BH1198" s="12"/>
      <c r="BI1198" s="12"/>
      <c r="BJ1198" s="12"/>
    </row>
    <row r="1199" spans="53:62" x14ac:dyDescent="0.25">
      <c r="BA1199" s="12"/>
      <c r="BB1199" s="30"/>
      <c r="BC1199" s="35"/>
      <c r="BD1199" s="33"/>
      <c r="BE1199" s="33"/>
      <c r="BF1199" s="29"/>
      <c r="BG1199" s="29"/>
      <c r="BH1199" s="12"/>
      <c r="BI1199" s="12"/>
      <c r="BJ1199" s="12"/>
    </row>
    <row r="1200" spans="53:62" x14ac:dyDescent="0.25">
      <c r="BA1200" s="12"/>
      <c r="BB1200" s="30"/>
      <c r="BC1200" s="35"/>
      <c r="BD1200" s="33"/>
      <c r="BE1200" s="33"/>
      <c r="BF1200" s="29"/>
      <c r="BG1200" s="29"/>
      <c r="BH1200" s="12"/>
      <c r="BI1200" s="12"/>
      <c r="BJ1200" s="12"/>
    </row>
    <row r="1201" spans="53:62" x14ac:dyDescent="0.25">
      <c r="BA1201" s="12"/>
      <c r="BB1201" s="30"/>
      <c r="BC1201" s="35"/>
      <c r="BD1201" s="33"/>
      <c r="BE1201" s="33"/>
      <c r="BF1201" s="29"/>
      <c r="BG1201" s="29"/>
      <c r="BH1201" s="12"/>
      <c r="BI1201" s="12"/>
      <c r="BJ1201" s="12"/>
    </row>
    <row r="1202" spans="53:62" x14ac:dyDescent="0.25">
      <c r="BA1202" s="12"/>
      <c r="BB1202" s="30"/>
      <c r="BC1202" s="35"/>
      <c r="BD1202" s="33"/>
      <c r="BE1202" s="33"/>
      <c r="BF1202" s="29"/>
      <c r="BG1202" s="29"/>
      <c r="BH1202" s="12"/>
      <c r="BI1202" s="12"/>
      <c r="BJ1202" s="12"/>
    </row>
    <row r="1203" spans="53:62" x14ac:dyDescent="0.25">
      <c r="BA1203" s="12"/>
      <c r="BB1203" s="30"/>
      <c r="BC1203" s="35"/>
      <c r="BD1203" s="33"/>
      <c r="BE1203" s="33"/>
      <c r="BF1203" s="29"/>
      <c r="BG1203" s="29"/>
      <c r="BH1203" s="12"/>
      <c r="BI1203" s="12"/>
      <c r="BJ1203" s="12"/>
    </row>
    <row r="1204" spans="53:62" x14ac:dyDescent="0.25">
      <c r="BA1204" s="12"/>
      <c r="BB1204" s="30"/>
      <c r="BC1204" s="35"/>
      <c r="BD1204" s="33"/>
      <c r="BE1204" s="33"/>
      <c r="BF1204" s="29"/>
      <c r="BG1204" s="29"/>
      <c r="BH1204" s="12"/>
      <c r="BI1204" s="12"/>
      <c r="BJ1204" s="12"/>
    </row>
    <row r="1205" spans="53:62" x14ac:dyDescent="0.25">
      <c r="BA1205" s="12"/>
      <c r="BB1205" s="30"/>
      <c r="BC1205" s="35"/>
      <c r="BD1205" s="33"/>
      <c r="BE1205" s="33"/>
      <c r="BF1205" s="29"/>
      <c r="BG1205" s="29"/>
      <c r="BH1205" s="12"/>
      <c r="BI1205" s="12"/>
      <c r="BJ1205" s="12"/>
    </row>
    <row r="1206" spans="53:62" x14ac:dyDescent="0.25">
      <c r="BA1206" s="12"/>
      <c r="BB1206" s="30"/>
      <c r="BC1206" s="35"/>
      <c r="BD1206" s="33"/>
      <c r="BE1206" s="33"/>
      <c r="BF1206" s="29"/>
      <c r="BG1206" s="29"/>
      <c r="BH1206" s="12"/>
      <c r="BI1206" s="12"/>
      <c r="BJ1206" s="12"/>
    </row>
    <row r="1207" spans="53:62" x14ac:dyDescent="0.25">
      <c r="BA1207" s="12"/>
      <c r="BB1207" s="30"/>
      <c r="BC1207" s="35"/>
      <c r="BD1207" s="33"/>
      <c r="BE1207" s="33"/>
      <c r="BF1207" s="29"/>
      <c r="BG1207" s="29"/>
      <c r="BH1207" s="12"/>
      <c r="BI1207" s="12"/>
      <c r="BJ1207" s="12"/>
    </row>
    <row r="1208" spans="53:62" x14ac:dyDescent="0.25">
      <c r="BA1208" s="12"/>
      <c r="BB1208" s="30"/>
      <c r="BC1208" s="35"/>
      <c r="BD1208" s="33"/>
      <c r="BE1208" s="33"/>
      <c r="BF1208" s="29"/>
      <c r="BG1208" s="29"/>
      <c r="BH1208" s="12"/>
      <c r="BI1208" s="12"/>
      <c r="BJ1208" s="12"/>
    </row>
    <row r="1209" spans="53:62" x14ac:dyDescent="0.25">
      <c r="BA1209" s="12"/>
      <c r="BB1209" s="30"/>
      <c r="BC1209" s="35"/>
      <c r="BD1209" s="33"/>
      <c r="BE1209" s="33"/>
      <c r="BF1209" s="29"/>
      <c r="BG1209" s="29"/>
      <c r="BH1209" s="12"/>
      <c r="BI1209" s="12"/>
      <c r="BJ1209" s="12"/>
    </row>
    <row r="1210" spans="53:62" x14ac:dyDescent="0.25">
      <c r="BA1210" s="12"/>
      <c r="BB1210" s="30"/>
      <c r="BC1210" s="35"/>
      <c r="BD1210" s="33"/>
      <c r="BE1210" s="33"/>
      <c r="BF1210" s="29"/>
      <c r="BG1210" s="29"/>
      <c r="BH1210" s="12"/>
      <c r="BI1210" s="12"/>
      <c r="BJ1210" s="12"/>
    </row>
    <row r="1211" spans="53:62" x14ac:dyDescent="0.25">
      <c r="BA1211" s="12"/>
      <c r="BB1211" s="30"/>
      <c r="BC1211" s="35"/>
      <c r="BD1211" s="33"/>
      <c r="BE1211" s="33"/>
      <c r="BF1211" s="29"/>
      <c r="BG1211" s="29"/>
      <c r="BH1211" s="12"/>
      <c r="BI1211" s="12"/>
      <c r="BJ1211" s="12"/>
    </row>
    <row r="1212" spans="53:62" x14ac:dyDescent="0.25">
      <c r="BA1212" s="12"/>
      <c r="BB1212" s="30"/>
      <c r="BC1212" s="35"/>
      <c r="BD1212" s="33"/>
      <c r="BE1212" s="33"/>
      <c r="BF1212" s="29"/>
      <c r="BG1212" s="29"/>
      <c r="BH1212" s="12"/>
      <c r="BI1212" s="12"/>
      <c r="BJ1212" s="12"/>
    </row>
    <row r="1213" spans="53:62" x14ac:dyDescent="0.25">
      <c r="BA1213" s="12"/>
      <c r="BB1213" s="30"/>
      <c r="BC1213" s="35"/>
      <c r="BD1213" s="33"/>
      <c r="BE1213" s="33"/>
      <c r="BF1213" s="29"/>
      <c r="BG1213" s="29"/>
      <c r="BH1213" s="12"/>
      <c r="BI1213" s="12"/>
      <c r="BJ1213" s="12"/>
    </row>
    <row r="1214" spans="53:62" x14ac:dyDescent="0.25">
      <c r="BA1214" s="12"/>
      <c r="BB1214" s="30"/>
      <c r="BC1214" s="35"/>
      <c r="BD1214" s="33"/>
      <c r="BE1214" s="33"/>
      <c r="BF1214" s="29"/>
      <c r="BG1214" s="29"/>
      <c r="BH1214" s="12"/>
      <c r="BI1214" s="12"/>
      <c r="BJ1214" s="12"/>
    </row>
    <row r="1215" spans="53:62" x14ac:dyDescent="0.25">
      <c r="BA1215" s="12"/>
      <c r="BB1215" s="30"/>
      <c r="BC1215" s="35"/>
      <c r="BD1215" s="33"/>
      <c r="BE1215" s="33"/>
      <c r="BF1215" s="29"/>
      <c r="BG1215" s="29"/>
      <c r="BH1215" s="12"/>
      <c r="BI1215" s="12"/>
      <c r="BJ1215" s="12"/>
    </row>
    <row r="1216" spans="53:62" x14ac:dyDescent="0.25">
      <c r="BA1216" s="12"/>
      <c r="BB1216" s="30"/>
      <c r="BC1216" s="35"/>
      <c r="BD1216" s="33"/>
      <c r="BE1216" s="33"/>
      <c r="BF1216" s="29"/>
      <c r="BG1216" s="29"/>
      <c r="BH1216" s="12"/>
      <c r="BI1216" s="12"/>
      <c r="BJ1216" s="12"/>
    </row>
    <row r="1217" spans="53:62" x14ac:dyDescent="0.25">
      <c r="BA1217" s="12"/>
      <c r="BB1217" s="30"/>
      <c r="BC1217" s="35"/>
      <c r="BD1217" s="33"/>
      <c r="BE1217" s="33"/>
      <c r="BF1217" s="29"/>
      <c r="BG1217" s="29"/>
      <c r="BH1217" s="12"/>
      <c r="BI1217" s="12"/>
      <c r="BJ1217" s="12"/>
    </row>
    <row r="1218" spans="53:62" x14ac:dyDescent="0.25">
      <c r="BA1218" s="12"/>
      <c r="BB1218" s="30"/>
      <c r="BC1218" s="35"/>
      <c r="BD1218" s="33"/>
      <c r="BE1218" s="33"/>
      <c r="BF1218" s="29"/>
      <c r="BG1218" s="29"/>
      <c r="BH1218" s="12"/>
      <c r="BI1218" s="12"/>
      <c r="BJ1218" s="12"/>
    </row>
    <row r="1219" spans="53:62" x14ac:dyDescent="0.25">
      <c r="BA1219" s="12"/>
      <c r="BB1219" s="30"/>
      <c r="BC1219" s="35"/>
      <c r="BD1219" s="33"/>
      <c r="BE1219" s="33"/>
      <c r="BF1219" s="29"/>
      <c r="BG1219" s="29"/>
      <c r="BH1219" s="12"/>
      <c r="BI1219" s="12"/>
      <c r="BJ1219" s="12"/>
    </row>
    <row r="1220" spans="53:62" x14ac:dyDescent="0.25">
      <c r="BA1220" s="12"/>
      <c r="BB1220" s="30"/>
      <c r="BC1220" s="35"/>
      <c r="BD1220" s="33"/>
      <c r="BE1220" s="33"/>
      <c r="BF1220" s="29"/>
      <c r="BG1220" s="29"/>
      <c r="BH1220" s="12"/>
      <c r="BI1220" s="12"/>
      <c r="BJ1220" s="12"/>
    </row>
    <row r="1221" spans="53:62" x14ac:dyDescent="0.25">
      <c r="BA1221" s="12"/>
      <c r="BB1221" s="30"/>
      <c r="BC1221" s="35"/>
      <c r="BD1221" s="33"/>
      <c r="BE1221" s="33"/>
      <c r="BF1221" s="29"/>
      <c r="BG1221" s="29"/>
      <c r="BH1221" s="12"/>
      <c r="BI1221" s="12"/>
      <c r="BJ1221" s="12"/>
    </row>
    <row r="1222" spans="53:62" x14ac:dyDescent="0.25">
      <c r="BA1222" s="12"/>
      <c r="BB1222" s="30"/>
      <c r="BC1222" s="35"/>
      <c r="BD1222" s="33"/>
      <c r="BE1222" s="33"/>
      <c r="BF1222" s="29"/>
      <c r="BG1222" s="29"/>
      <c r="BH1222" s="12"/>
      <c r="BI1222" s="12"/>
      <c r="BJ1222" s="12"/>
    </row>
    <row r="1223" spans="53:62" x14ac:dyDescent="0.25">
      <c r="BA1223" s="12"/>
      <c r="BB1223" s="30"/>
      <c r="BC1223" s="35"/>
      <c r="BD1223" s="33"/>
      <c r="BE1223" s="33"/>
      <c r="BF1223" s="29"/>
      <c r="BG1223" s="29"/>
      <c r="BH1223" s="12"/>
      <c r="BI1223" s="12"/>
      <c r="BJ1223" s="12"/>
    </row>
    <row r="1224" spans="53:62" x14ac:dyDescent="0.25">
      <c r="BA1224" s="12"/>
      <c r="BB1224" s="30"/>
      <c r="BC1224" s="35"/>
      <c r="BD1224" s="33"/>
      <c r="BE1224" s="33"/>
      <c r="BF1224" s="29"/>
      <c r="BG1224" s="29"/>
      <c r="BH1224" s="12"/>
      <c r="BI1224" s="12"/>
      <c r="BJ1224" s="12"/>
    </row>
    <row r="1225" spans="53:62" x14ac:dyDescent="0.25">
      <c r="BA1225" s="12"/>
      <c r="BB1225" s="30"/>
      <c r="BC1225" s="35"/>
      <c r="BD1225" s="33"/>
      <c r="BE1225" s="33"/>
      <c r="BF1225" s="29"/>
      <c r="BG1225" s="29"/>
      <c r="BH1225" s="12"/>
      <c r="BI1225" s="12"/>
      <c r="BJ1225" s="12"/>
    </row>
    <row r="1226" spans="53:62" x14ac:dyDescent="0.25">
      <c r="BA1226" s="12"/>
      <c r="BB1226" s="30"/>
      <c r="BC1226" s="35"/>
      <c r="BD1226" s="33"/>
      <c r="BE1226" s="33"/>
      <c r="BF1226" s="29"/>
      <c r="BG1226" s="29"/>
      <c r="BH1226" s="12"/>
      <c r="BI1226" s="12"/>
      <c r="BJ1226" s="12"/>
    </row>
    <row r="1227" spans="53:62" x14ac:dyDescent="0.25">
      <c r="BA1227" s="12"/>
      <c r="BB1227" s="30"/>
      <c r="BC1227" s="35"/>
      <c r="BD1227" s="33"/>
      <c r="BE1227" s="33"/>
      <c r="BF1227" s="29"/>
      <c r="BG1227" s="29"/>
      <c r="BH1227" s="12"/>
      <c r="BI1227" s="12"/>
      <c r="BJ1227" s="12"/>
    </row>
    <row r="1228" spans="53:62" x14ac:dyDescent="0.25">
      <c r="BA1228" s="12"/>
      <c r="BB1228" s="30"/>
      <c r="BC1228" s="35"/>
      <c r="BD1228" s="33"/>
      <c r="BE1228" s="33"/>
      <c r="BF1228" s="29"/>
      <c r="BG1228" s="29"/>
      <c r="BH1228" s="12"/>
      <c r="BI1228" s="12"/>
      <c r="BJ1228" s="12"/>
    </row>
    <row r="1229" spans="53:62" x14ac:dyDescent="0.25">
      <c r="BA1229" s="12"/>
      <c r="BB1229" s="30"/>
      <c r="BC1229" s="35"/>
      <c r="BD1229" s="33"/>
      <c r="BE1229" s="33"/>
      <c r="BF1229" s="29"/>
      <c r="BG1229" s="29"/>
      <c r="BH1229" s="12"/>
      <c r="BI1229" s="12"/>
      <c r="BJ1229" s="12"/>
    </row>
    <row r="1230" spans="53:62" x14ac:dyDescent="0.25">
      <c r="BA1230" s="12"/>
      <c r="BB1230" s="30"/>
      <c r="BC1230" s="35"/>
      <c r="BD1230" s="33"/>
      <c r="BE1230" s="33"/>
      <c r="BF1230" s="29"/>
      <c r="BG1230" s="29"/>
      <c r="BH1230" s="12"/>
      <c r="BI1230" s="12"/>
      <c r="BJ1230" s="12"/>
    </row>
    <row r="1231" spans="53:62" x14ac:dyDescent="0.25">
      <c r="BA1231" s="12"/>
      <c r="BB1231" s="30"/>
      <c r="BC1231" s="35"/>
      <c r="BD1231" s="33"/>
      <c r="BE1231" s="33"/>
      <c r="BF1231" s="29"/>
      <c r="BG1231" s="29"/>
      <c r="BH1231" s="12"/>
      <c r="BI1231" s="12"/>
      <c r="BJ1231" s="12"/>
    </row>
    <row r="1232" spans="53:62" x14ac:dyDescent="0.25">
      <c r="BA1232" s="12"/>
      <c r="BB1232" s="30"/>
      <c r="BC1232" s="35"/>
      <c r="BD1232" s="33"/>
      <c r="BE1232" s="33"/>
      <c r="BF1232" s="29"/>
      <c r="BG1232" s="29"/>
      <c r="BH1232" s="12"/>
      <c r="BI1232" s="12"/>
      <c r="BJ1232" s="12"/>
    </row>
    <row r="1233" spans="53:62" x14ac:dyDescent="0.25">
      <c r="BA1233" s="12"/>
      <c r="BB1233" s="30"/>
      <c r="BC1233" s="35"/>
      <c r="BD1233" s="33"/>
      <c r="BE1233" s="33"/>
      <c r="BF1233" s="29"/>
      <c r="BG1233" s="29"/>
      <c r="BH1233" s="12"/>
      <c r="BI1233" s="12"/>
      <c r="BJ1233" s="12"/>
    </row>
    <row r="1234" spans="53:62" x14ac:dyDescent="0.25">
      <c r="BA1234" s="12"/>
      <c r="BB1234" s="30"/>
      <c r="BC1234" s="35"/>
      <c r="BD1234" s="33"/>
      <c r="BE1234" s="33"/>
      <c r="BF1234" s="29"/>
      <c r="BG1234" s="29"/>
      <c r="BH1234" s="12"/>
      <c r="BI1234" s="12"/>
      <c r="BJ1234" s="12"/>
    </row>
    <row r="1235" spans="53:62" x14ac:dyDescent="0.25">
      <c r="BA1235" s="12"/>
      <c r="BB1235" s="30"/>
      <c r="BC1235" s="35"/>
      <c r="BD1235" s="33"/>
      <c r="BE1235" s="33"/>
      <c r="BF1235" s="29"/>
      <c r="BG1235" s="29"/>
      <c r="BH1235" s="12"/>
      <c r="BI1235" s="12"/>
      <c r="BJ1235" s="12"/>
    </row>
    <row r="1236" spans="53:62" x14ac:dyDescent="0.25">
      <c r="BA1236" s="12"/>
      <c r="BB1236" s="30"/>
      <c r="BC1236" s="35"/>
      <c r="BD1236" s="33"/>
      <c r="BE1236" s="33"/>
      <c r="BF1236" s="29"/>
      <c r="BG1236" s="29"/>
      <c r="BH1236" s="12"/>
      <c r="BI1236" s="12"/>
      <c r="BJ1236" s="12"/>
    </row>
    <row r="1237" spans="53:62" x14ac:dyDescent="0.25">
      <c r="BA1237" s="12"/>
      <c r="BB1237" s="30"/>
      <c r="BC1237" s="35"/>
      <c r="BD1237" s="33"/>
      <c r="BE1237" s="33"/>
      <c r="BF1237" s="29"/>
      <c r="BG1237" s="29"/>
      <c r="BH1237" s="12"/>
      <c r="BI1237" s="12"/>
      <c r="BJ1237" s="12"/>
    </row>
    <row r="1238" spans="53:62" x14ac:dyDescent="0.25">
      <c r="BA1238" s="12"/>
      <c r="BB1238" s="30"/>
      <c r="BC1238" s="35"/>
      <c r="BD1238" s="33"/>
      <c r="BE1238" s="33"/>
      <c r="BF1238" s="29"/>
      <c r="BG1238" s="29"/>
      <c r="BH1238" s="12"/>
      <c r="BI1238" s="12"/>
      <c r="BJ1238" s="12"/>
    </row>
    <row r="1239" spans="53:62" x14ac:dyDescent="0.25">
      <c r="BA1239" s="12"/>
      <c r="BB1239" s="30"/>
      <c r="BC1239" s="35"/>
      <c r="BD1239" s="33"/>
      <c r="BE1239" s="33"/>
      <c r="BF1239" s="29"/>
      <c r="BG1239" s="29"/>
      <c r="BH1239" s="12"/>
      <c r="BI1239" s="12"/>
      <c r="BJ1239" s="12"/>
    </row>
    <row r="1240" spans="53:62" x14ac:dyDescent="0.25">
      <c r="BA1240" s="12"/>
      <c r="BB1240" s="30"/>
      <c r="BC1240" s="35"/>
      <c r="BD1240" s="33"/>
      <c r="BE1240" s="33"/>
      <c r="BF1240" s="29"/>
      <c r="BG1240" s="29"/>
      <c r="BH1240" s="12"/>
      <c r="BI1240" s="12"/>
      <c r="BJ1240" s="12"/>
    </row>
    <row r="1241" spans="53:62" x14ac:dyDescent="0.25">
      <c r="BA1241" s="12"/>
      <c r="BB1241" s="30"/>
      <c r="BC1241" s="35"/>
      <c r="BD1241" s="33"/>
      <c r="BE1241" s="33"/>
      <c r="BF1241" s="29"/>
      <c r="BG1241" s="29"/>
      <c r="BH1241" s="12"/>
      <c r="BI1241" s="12"/>
      <c r="BJ1241" s="12"/>
    </row>
    <row r="1242" spans="53:62" x14ac:dyDescent="0.25">
      <c r="BA1242" s="12"/>
      <c r="BB1242" s="30"/>
      <c r="BC1242" s="35"/>
      <c r="BD1242" s="33"/>
      <c r="BE1242" s="33"/>
      <c r="BF1242" s="29"/>
      <c r="BG1242" s="29"/>
      <c r="BH1242" s="12"/>
      <c r="BI1242" s="12"/>
      <c r="BJ1242" s="12"/>
    </row>
    <row r="1243" spans="53:62" x14ac:dyDescent="0.25">
      <c r="BA1243" s="12"/>
      <c r="BB1243" s="30"/>
      <c r="BC1243" s="35"/>
      <c r="BD1243" s="33"/>
      <c r="BE1243" s="33"/>
      <c r="BF1243" s="29"/>
      <c r="BG1243" s="29"/>
      <c r="BH1243" s="12"/>
      <c r="BI1243" s="12"/>
      <c r="BJ1243" s="12"/>
    </row>
    <row r="1244" spans="53:62" x14ac:dyDescent="0.25">
      <c r="BA1244" s="12"/>
      <c r="BB1244" s="30"/>
      <c r="BC1244" s="35"/>
      <c r="BD1244" s="33"/>
      <c r="BE1244" s="33"/>
      <c r="BF1244" s="29"/>
      <c r="BG1244" s="29"/>
      <c r="BH1244" s="12"/>
      <c r="BI1244" s="12"/>
      <c r="BJ1244" s="12"/>
    </row>
    <row r="1245" spans="53:62" x14ac:dyDescent="0.25">
      <c r="BA1245" s="12"/>
      <c r="BB1245" s="30"/>
      <c r="BC1245" s="35"/>
      <c r="BD1245" s="33"/>
      <c r="BE1245" s="33"/>
      <c r="BF1245" s="29"/>
      <c r="BG1245" s="29"/>
      <c r="BH1245" s="12"/>
      <c r="BI1245" s="12"/>
      <c r="BJ1245" s="12"/>
    </row>
    <row r="1246" spans="53:62" x14ac:dyDescent="0.25">
      <c r="BA1246" s="12"/>
      <c r="BB1246" s="30"/>
      <c r="BC1246" s="35"/>
      <c r="BD1246" s="33"/>
      <c r="BE1246" s="33"/>
      <c r="BF1246" s="29"/>
      <c r="BG1246" s="29"/>
      <c r="BH1246" s="12"/>
      <c r="BI1246" s="12"/>
      <c r="BJ1246" s="12"/>
    </row>
    <row r="1247" spans="53:62" x14ac:dyDescent="0.25">
      <c r="BA1247" s="12"/>
      <c r="BB1247" s="30"/>
      <c r="BC1247" s="35"/>
      <c r="BD1247" s="33"/>
      <c r="BE1247" s="33"/>
      <c r="BF1247" s="29"/>
      <c r="BG1247" s="29"/>
      <c r="BH1247" s="12"/>
      <c r="BI1247" s="12"/>
      <c r="BJ1247" s="12"/>
    </row>
    <row r="1248" spans="53:62" x14ac:dyDescent="0.25">
      <c r="BA1248" s="12"/>
      <c r="BB1248" s="30"/>
      <c r="BC1248" s="35"/>
      <c r="BD1248" s="33"/>
      <c r="BE1248" s="33"/>
      <c r="BF1248" s="29"/>
      <c r="BG1248" s="29"/>
      <c r="BH1248" s="12"/>
      <c r="BI1248" s="12"/>
      <c r="BJ1248" s="12"/>
    </row>
    <row r="1249" spans="7:62" x14ac:dyDescent="0.25">
      <c r="BA1249" s="12"/>
      <c r="BB1249" s="30"/>
      <c r="BC1249" s="35"/>
      <c r="BD1249" s="33"/>
      <c r="BE1249" s="33"/>
      <c r="BF1249" s="29"/>
      <c r="BG1249" s="29"/>
      <c r="BH1249" s="12"/>
      <c r="BI1249" s="12"/>
      <c r="BJ1249" s="12"/>
    </row>
    <row r="1250" spans="7:62" x14ac:dyDescent="0.25">
      <c r="BA1250" s="12"/>
      <c r="BB1250" s="30"/>
      <c r="BC1250" s="35"/>
      <c r="BD1250" s="33"/>
      <c r="BE1250" s="33"/>
      <c r="BF1250" s="29"/>
      <c r="BG1250" s="29"/>
      <c r="BH1250" s="12"/>
      <c r="BI1250" s="12"/>
      <c r="BJ1250" s="12"/>
    </row>
    <row r="1251" spans="7:62" x14ac:dyDescent="0.25">
      <c r="BA1251" s="12"/>
      <c r="BB1251" s="30"/>
      <c r="BC1251" s="35"/>
      <c r="BD1251" s="33"/>
      <c r="BE1251" s="33"/>
      <c r="BF1251" s="29"/>
      <c r="BG1251" s="29"/>
      <c r="BH1251" s="12"/>
      <c r="BI1251" s="12"/>
      <c r="BJ1251" s="12"/>
    </row>
    <row r="1252" spans="7:62" x14ac:dyDescent="0.25">
      <c r="BA1252" s="12"/>
      <c r="BB1252" s="30"/>
      <c r="BC1252" s="35"/>
      <c r="BD1252" s="33"/>
      <c r="BE1252" s="33"/>
      <c r="BF1252" s="29"/>
      <c r="BG1252" s="29"/>
      <c r="BH1252" s="12"/>
      <c r="BI1252" s="12"/>
      <c r="BJ1252" s="12"/>
    </row>
    <row r="1253" spans="7:62" x14ac:dyDescent="0.25">
      <c r="BA1253" s="12"/>
      <c r="BB1253" s="30"/>
      <c r="BC1253" s="35"/>
      <c r="BD1253" s="33"/>
      <c r="BE1253" s="33"/>
      <c r="BF1253" s="29"/>
      <c r="BG1253" s="29"/>
      <c r="BH1253" s="12"/>
      <c r="BI1253" s="12"/>
      <c r="BJ1253" s="12"/>
    </row>
    <row r="1254" spans="7:62" x14ac:dyDescent="0.25">
      <c r="G1254" s="30"/>
      <c r="BA1254" s="12"/>
      <c r="BB1254" s="30"/>
      <c r="BC1254" s="35"/>
      <c r="BD1254" s="33"/>
      <c r="BE1254" s="33"/>
      <c r="BF1254" s="29"/>
      <c r="BG1254" s="30"/>
      <c r="BH1254" s="12"/>
      <c r="BI1254" s="12"/>
      <c r="BJ1254" s="12"/>
    </row>
    <row r="1255" spans="7:62" x14ac:dyDescent="0.25">
      <c r="G1255" s="30"/>
      <c r="BA1255" s="12"/>
      <c r="BB1255" s="30"/>
      <c r="BC1255" s="35"/>
      <c r="BD1255" s="33"/>
      <c r="BE1255" s="33"/>
      <c r="BF1255" s="29"/>
      <c r="BG1255" s="30"/>
      <c r="BH1255" s="12"/>
      <c r="BI1255" s="12"/>
      <c r="BJ1255" s="12"/>
    </row>
    <row r="1256" spans="7:62" x14ac:dyDescent="0.25">
      <c r="G1256" s="30"/>
      <c r="BA1256" s="12"/>
      <c r="BB1256" s="30"/>
      <c r="BC1256" s="35"/>
      <c r="BD1256" s="33"/>
      <c r="BE1256" s="33"/>
      <c r="BF1256" s="29"/>
      <c r="BG1256" s="30"/>
      <c r="BH1256" s="12"/>
      <c r="BI1256" s="12"/>
      <c r="BJ1256" s="12"/>
    </row>
    <row r="1257" spans="7:62" x14ac:dyDescent="0.25">
      <c r="G1257" s="30"/>
      <c r="BA1257" s="12"/>
      <c r="BB1257" s="30"/>
      <c r="BC1257" s="35"/>
      <c r="BD1257" s="33"/>
      <c r="BE1257" s="33"/>
      <c r="BF1257" s="29"/>
      <c r="BG1257" s="30"/>
      <c r="BH1257" s="12"/>
      <c r="BI1257" s="12"/>
      <c r="BJ1257" s="12"/>
    </row>
    <row r="1258" spans="7:62" x14ac:dyDescent="0.25">
      <c r="G1258" s="30"/>
      <c r="BA1258" s="12"/>
      <c r="BB1258" s="30"/>
      <c r="BC1258" s="35"/>
      <c r="BD1258" s="33"/>
      <c r="BE1258" s="33"/>
      <c r="BF1258" s="29"/>
      <c r="BG1258" s="30"/>
      <c r="BH1258" s="12"/>
      <c r="BI1258" s="12"/>
      <c r="BJ1258" s="12"/>
    </row>
    <row r="1259" spans="7:62" x14ac:dyDescent="0.25">
      <c r="BA1259" s="12"/>
      <c r="BB1259" s="30"/>
      <c r="BC1259" s="35"/>
      <c r="BD1259" s="33"/>
      <c r="BE1259" s="33"/>
      <c r="BF1259" s="29"/>
      <c r="BG1259" s="29"/>
      <c r="BH1259" s="12"/>
      <c r="BI1259" s="12"/>
      <c r="BJ1259" s="12"/>
    </row>
    <row r="1260" spans="7:62" x14ac:dyDescent="0.25">
      <c r="BA1260" s="12"/>
      <c r="BB1260" s="30"/>
      <c r="BC1260" s="35"/>
      <c r="BD1260" s="33"/>
      <c r="BE1260" s="33"/>
      <c r="BF1260" s="29"/>
      <c r="BG1260" s="29"/>
      <c r="BH1260" s="12"/>
      <c r="BI1260" s="12"/>
      <c r="BJ1260" s="12"/>
    </row>
    <row r="1261" spans="7:62" x14ac:dyDescent="0.25">
      <c r="BA1261" s="12"/>
      <c r="BB1261" s="30"/>
      <c r="BC1261" s="35"/>
      <c r="BD1261" s="33"/>
      <c r="BE1261" s="33"/>
      <c r="BF1261" s="29"/>
      <c r="BG1261" s="29"/>
      <c r="BH1261" s="12"/>
      <c r="BI1261" s="12"/>
      <c r="BJ1261" s="12"/>
    </row>
    <row r="1262" spans="7:62" x14ac:dyDescent="0.25">
      <c r="BA1262" s="12"/>
      <c r="BB1262" s="30"/>
      <c r="BC1262" s="35"/>
      <c r="BD1262" s="33"/>
      <c r="BE1262" s="33"/>
      <c r="BF1262" s="29"/>
      <c r="BG1262" s="29"/>
      <c r="BH1262" s="12"/>
      <c r="BI1262" s="12"/>
      <c r="BJ1262" s="12"/>
    </row>
    <row r="1263" spans="7:62" x14ac:dyDescent="0.25">
      <c r="BA1263" s="12"/>
      <c r="BB1263" s="30"/>
      <c r="BC1263" s="35"/>
      <c r="BD1263" s="33"/>
      <c r="BE1263" s="33"/>
      <c r="BF1263" s="29"/>
      <c r="BG1263" s="29"/>
      <c r="BH1263" s="12"/>
      <c r="BI1263" s="12"/>
      <c r="BJ1263" s="12"/>
    </row>
    <row r="1264" spans="7:62" x14ac:dyDescent="0.25">
      <c r="BA1264" s="12"/>
      <c r="BB1264" s="30"/>
      <c r="BC1264" s="35"/>
      <c r="BD1264" s="33"/>
      <c r="BE1264" s="33"/>
      <c r="BF1264" s="29"/>
      <c r="BG1264" s="29"/>
      <c r="BH1264" s="12"/>
      <c r="BI1264" s="12"/>
      <c r="BJ1264" s="12"/>
    </row>
    <row r="1265" spans="7:62" x14ac:dyDescent="0.25">
      <c r="BA1265" s="12"/>
      <c r="BB1265" s="30"/>
      <c r="BC1265" s="35"/>
      <c r="BD1265" s="33"/>
      <c r="BE1265" s="33"/>
      <c r="BF1265" s="29"/>
      <c r="BG1265" s="29"/>
      <c r="BH1265" s="12"/>
      <c r="BI1265" s="12"/>
      <c r="BJ1265" s="12"/>
    </row>
    <row r="1266" spans="7:62" x14ac:dyDescent="0.25">
      <c r="BA1266" s="12"/>
      <c r="BB1266" s="30"/>
      <c r="BC1266" s="35"/>
      <c r="BD1266" s="33"/>
      <c r="BE1266" s="33"/>
      <c r="BF1266" s="29"/>
      <c r="BG1266" s="29"/>
      <c r="BH1266" s="12"/>
      <c r="BI1266" s="12"/>
      <c r="BJ1266" s="12"/>
    </row>
    <row r="1267" spans="7:62" x14ac:dyDescent="0.25">
      <c r="BA1267" s="12"/>
      <c r="BB1267" s="30"/>
      <c r="BC1267" s="35"/>
      <c r="BD1267" s="33"/>
      <c r="BE1267" s="33"/>
      <c r="BF1267" s="29"/>
      <c r="BG1267" s="29"/>
      <c r="BH1267" s="12"/>
      <c r="BI1267" s="12"/>
      <c r="BJ1267" s="12"/>
    </row>
    <row r="1268" spans="7:62" x14ac:dyDescent="0.25">
      <c r="BA1268" s="12"/>
      <c r="BB1268" s="30"/>
      <c r="BC1268" s="35"/>
      <c r="BD1268" s="33"/>
      <c r="BE1268" s="33"/>
      <c r="BF1268" s="29"/>
      <c r="BG1268" s="29"/>
      <c r="BH1268" s="12"/>
      <c r="BI1268" s="12"/>
      <c r="BJ1268" s="12"/>
    </row>
    <row r="1269" spans="7:62" x14ac:dyDescent="0.25">
      <c r="BA1269" s="12"/>
      <c r="BB1269" s="30"/>
      <c r="BC1269" s="35"/>
      <c r="BD1269" s="33"/>
      <c r="BE1269" s="33"/>
      <c r="BF1269" s="29"/>
      <c r="BG1269" s="29"/>
      <c r="BH1269" s="12"/>
      <c r="BI1269" s="12"/>
      <c r="BJ1269" s="12"/>
    </row>
    <row r="1270" spans="7:62" x14ac:dyDescent="0.25">
      <c r="BA1270" s="12"/>
      <c r="BB1270" s="30"/>
      <c r="BC1270" s="35"/>
      <c r="BD1270" s="33"/>
      <c r="BE1270" s="33"/>
      <c r="BF1270" s="29"/>
      <c r="BG1270" s="29"/>
      <c r="BH1270" s="12"/>
      <c r="BI1270" s="12"/>
      <c r="BJ1270" s="12"/>
    </row>
    <row r="1271" spans="7:62" x14ac:dyDescent="0.25">
      <c r="BA1271" s="12"/>
      <c r="BB1271" s="30"/>
      <c r="BC1271" s="35"/>
      <c r="BD1271" s="33"/>
      <c r="BE1271" s="33"/>
      <c r="BF1271" s="29"/>
      <c r="BG1271" s="29"/>
      <c r="BH1271" s="12"/>
      <c r="BI1271" s="12"/>
      <c r="BJ1271" s="12"/>
    </row>
    <row r="1272" spans="7:62" x14ac:dyDescent="0.25">
      <c r="G1272" s="30"/>
      <c r="BA1272" s="12"/>
      <c r="BB1272" s="30"/>
      <c r="BC1272" s="35"/>
      <c r="BD1272" s="33"/>
      <c r="BE1272" s="33"/>
      <c r="BF1272" s="29"/>
      <c r="BG1272" s="30"/>
      <c r="BH1272" s="12"/>
      <c r="BI1272" s="12"/>
      <c r="BJ1272" s="12"/>
    </row>
    <row r="1273" spans="7:62" x14ac:dyDescent="0.25">
      <c r="BA1273" s="12"/>
      <c r="BB1273" s="30"/>
      <c r="BC1273" s="35"/>
      <c r="BD1273" s="33"/>
      <c r="BE1273" s="33"/>
      <c r="BF1273" s="29"/>
      <c r="BG1273" s="29"/>
      <c r="BH1273" s="12"/>
      <c r="BI1273" s="12"/>
      <c r="BJ1273" s="12"/>
    </row>
    <row r="1274" spans="7:62" x14ac:dyDescent="0.25">
      <c r="BA1274" s="12"/>
      <c r="BB1274" s="30"/>
      <c r="BC1274" s="35"/>
      <c r="BD1274" s="33"/>
      <c r="BE1274" s="33"/>
      <c r="BF1274" s="29"/>
      <c r="BG1274" s="29"/>
      <c r="BH1274" s="12"/>
      <c r="BI1274" s="12"/>
      <c r="BJ1274" s="12"/>
    </row>
    <row r="1275" spans="7:62" x14ac:dyDescent="0.25">
      <c r="BA1275" s="12"/>
      <c r="BB1275" s="30"/>
      <c r="BC1275" s="33"/>
      <c r="BD1275" s="33"/>
      <c r="BE1275" s="33"/>
      <c r="BF1275" s="29"/>
      <c r="BG1275" s="29"/>
      <c r="BH1275" s="12"/>
      <c r="BI1275" s="12"/>
      <c r="BJ1275" s="12"/>
    </row>
    <row r="1276" spans="7:62" x14ac:dyDescent="0.25">
      <c r="BA1276" s="12"/>
      <c r="BB1276" s="30"/>
      <c r="BC1276" s="33"/>
      <c r="BD1276" s="33"/>
      <c r="BE1276" s="33"/>
      <c r="BF1276" s="29"/>
      <c r="BG1276" s="29"/>
      <c r="BH1276" s="12"/>
      <c r="BI1276" s="12"/>
      <c r="BJ1276" s="12"/>
    </row>
    <row r="1277" spans="7:62" x14ac:dyDescent="0.25">
      <c r="BA1277" s="12"/>
      <c r="BB1277" s="30"/>
      <c r="BC1277" s="33"/>
      <c r="BD1277" s="33"/>
      <c r="BE1277" s="33"/>
      <c r="BF1277" s="29"/>
      <c r="BG1277" s="29"/>
      <c r="BH1277" s="12"/>
      <c r="BI1277" s="12"/>
      <c r="BJ1277" s="12"/>
    </row>
    <row r="1278" spans="7:62" x14ac:dyDescent="0.25">
      <c r="BA1278" s="12"/>
      <c r="BB1278" s="30"/>
      <c r="BC1278" s="33"/>
      <c r="BD1278" s="33"/>
      <c r="BE1278" s="33"/>
      <c r="BF1278" s="29"/>
      <c r="BG1278" s="29"/>
      <c r="BH1278" s="12"/>
      <c r="BI1278" s="12"/>
      <c r="BJ1278" s="12"/>
    </row>
    <row r="1279" spans="7:62" x14ac:dyDescent="0.25">
      <c r="BA1279" s="12"/>
      <c r="BB1279" s="30"/>
      <c r="BC1279" s="33"/>
      <c r="BD1279" s="33"/>
      <c r="BE1279" s="33"/>
      <c r="BF1279" s="29"/>
      <c r="BG1279" s="29"/>
      <c r="BH1279" s="12"/>
      <c r="BI1279" s="12"/>
      <c r="BJ1279" s="12"/>
    </row>
    <row r="1280" spans="7:62" x14ac:dyDescent="0.25">
      <c r="BA1280" s="12"/>
      <c r="BB1280" s="30"/>
      <c r="BC1280" s="33"/>
      <c r="BD1280" s="33"/>
      <c r="BE1280" s="33"/>
      <c r="BF1280" s="29"/>
      <c r="BG1280" s="29"/>
      <c r="BH1280" s="12"/>
      <c r="BI1280" s="12"/>
      <c r="BJ1280" s="12"/>
    </row>
    <row r="1281" spans="53:62" x14ac:dyDescent="0.25">
      <c r="BA1281" s="12"/>
      <c r="BB1281" s="30"/>
      <c r="BC1281" s="33"/>
      <c r="BD1281" s="33"/>
      <c r="BE1281" s="33"/>
      <c r="BF1281" s="29"/>
      <c r="BG1281" s="29"/>
      <c r="BH1281" s="12"/>
      <c r="BI1281" s="12"/>
      <c r="BJ1281" s="12"/>
    </row>
    <row r="1282" spans="53:62" x14ac:dyDescent="0.25">
      <c r="BA1282" s="12"/>
      <c r="BB1282" s="30"/>
      <c r="BC1282" s="33"/>
      <c r="BD1282" s="33"/>
      <c r="BE1282" s="33"/>
      <c r="BF1282" s="29"/>
      <c r="BG1282" s="29"/>
      <c r="BH1282" s="12"/>
      <c r="BI1282" s="12"/>
      <c r="BJ1282" s="12"/>
    </row>
    <row r="1283" spans="53:62" x14ac:dyDescent="0.25">
      <c r="BA1283" s="12"/>
      <c r="BB1283" s="30"/>
      <c r="BC1283" s="33"/>
      <c r="BD1283" s="33"/>
      <c r="BE1283" s="33"/>
      <c r="BF1283" s="29"/>
      <c r="BG1283" s="29"/>
      <c r="BH1283" s="12"/>
      <c r="BI1283" s="12"/>
      <c r="BJ1283" s="12"/>
    </row>
    <row r="1284" spans="53:62" x14ac:dyDescent="0.25">
      <c r="BA1284" s="12"/>
      <c r="BB1284" s="30"/>
      <c r="BC1284" s="33"/>
      <c r="BD1284" s="33"/>
      <c r="BE1284" s="33"/>
      <c r="BF1284" s="29"/>
      <c r="BG1284" s="29"/>
      <c r="BH1284" s="12"/>
      <c r="BI1284" s="12"/>
      <c r="BJ1284" s="12"/>
    </row>
    <row r="1285" spans="53:62" x14ac:dyDescent="0.25">
      <c r="BA1285" s="12"/>
      <c r="BB1285" s="30"/>
      <c r="BC1285" s="33"/>
      <c r="BD1285" s="33"/>
      <c r="BE1285" s="33"/>
      <c r="BF1285" s="29"/>
      <c r="BG1285" s="29"/>
      <c r="BH1285" s="12"/>
      <c r="BI1285" s="12"/>
      <c r="BJ1285" s="12"/>
    </row>
    <row r="1286" spans="53:62" x14ac:dyDescent="0.25">
      <c r="BA1286" s="12"/>
      <c r="BB1286" s="30"/>
      <c r="BC1286" s="33"/>
      <c r="BD1286" s="33"/>
      <c r="BE1286" s="33"/>
      <c r="BF1286" s="29"/>
      <c r="BG1286" s="29"/>
      <c r="BH1286" s="12"/>
      <c r="BI1286" s="12"/>
      <c r="BJ1286" s="12"/>
    </row>
    <row r="1287" spans="53:62" x14ac:dyDescent="0.25">
      <c r="BA1287" s="12"/>
      <c r="BB1287" s="30"/>
      <c r="BC1287" s="33"/>
      <c r="BD1287" s="33"/>
      <c r="BE1287" s="33"/>
      <c r="BF1287" s="29"/>
      <c r="BG1287" s="29"/>
      <c r="BH1287" s="12"/>
      <c r="BI1287" s="12"/>
      <c r="BJ1287" s="12"/>
    </row>
    <row r="1288" spans="53:62" x14ac:dyDescent="0.25">
      <c r="BA1288" s="12"/>
      <c r="BB1288" s="30"/>
      <c r="BC1288" s="33"/>
      <c r="BD1288" s="33"/>
      <c r="BE1288" s="33"/>
      <c r="BF1288" s="29"/>
      <c r="BG1288" s="29"/>
      <c r="BH1288" s="12"/>
      <c r="BI1288" s="12"/>
      <c r="BJ1288" s="12"/>
    </row>
    <row r="1289" spans="53:62" x14ac:dyDescent="0.25">
      <c r="BA1289" s="12"/>
      <c r="BB1289" s="30"/>
      <c r="BC1289" s="33"/>
      <c r="BD1289" s="33"/>
      <c r="BE1289" s="33"/>
      <c r="BF1289" s="29"/>
      <c r="BG1289" s="29"/>
      <c r="BH1289" s="12"/>
      <c r="BI1289" s="12"/>
      <c r="BJ1289" s="12"/>
    </row>
    <row r="1290" spans="53:62" x14ac:dyDescent="0.25">
      <c r="BA1290" s="12"/>
      <c r="BB1290" s="30"/>
      <c r="BC1290" s="33"/>
      <c r="BD1290" s="33"/>
      <c r="BE1290" s="33"/>
      <c r="BF1290" s="29"/>
      <c r="BG1290" s="29"/>
      <c r="BH1290" s="12"/>
      <c r="BI1290" s="12"/>
      <c r="BJ1290" s="12"/>
    </row>
    <row r="1291" spans="53:62" x14ac:dyDescent="0.25">
      <c r="BA1291" s="12"/>
      <c r="BB1291" s="30"/>
      <c r="BC1291" s="33"/>
      <c r="BD1291" s="33"/>
      <c r="BE1291" s="33"/>
      <c r="BF1291" s="29"/>
      <c r="BG1291" s="29"/>
      <c r="BH1291" s="12"/>
      <c r="BI1291" s="12"/>
      <c r="BJ1291" s="12"/>
    </row>
    <row r="1292" spans="53:62" x14ac:dyDescent="0.25">
      <c r="BA1292" s="12"/>
      <c r="BB1292" s="30"/>
      <c r="BC1292" s="33"/>
      <c r="BD1292" s="33"/>
      <c r="BE1292" s="33"/>
      <c r="BF1292" s="29"/>
      <c r="BG1292" s="29"/>
      <c r="BH1292" s="12"/>
      <c r="BI1292" s="12"/>
      <c r="BJ1292" s="12"/>
    </row>
    <row r="1293" spans="53:62" x14ac:dyDescent="0.25">
      <c r="BA1293" s="12"/>
      <c r="BB1293" s="30"/>
      <c r="BC1293" s="33"/>
      <c r="BD1293" s="33"/>
      <c r="BE1293" s="33"/>
      <c r="BF1293" s="29"/>
      <c r="BG1293" s="29"/>
      <c r="BH1293" s="12"/>
      <c r="BI1293" s="12"/>
      <c r="BJ1293" s="12"/>
    </row>
    <row r="1294" spans="53:62" x14ac:dyDescent="0.25">
      <c r="BA1294" s="12"/>
      <c r="BB1294" s="30"/>
      <c r="BC1294" s="33"/>
      <c r="BD1294" s="33"/>
      <c r="BE1294" s="33"/>
      <c r="BF1294" s="29"/>
      <c r="BG1294" s="29"/>
      <c r="BH1294" s="12"/>
      <c r="BI1294" s="12"/>
      <c r="BJ1294" s="12"/>
    </row>
    <row r="1295" spans="53:62" x14ac:dyDescent="0.25">
      <c r="BA1295" s="12"/>
      <c r="BB1295" s="30"/>
      <c r="BC1295" s="33"/>
      <c r="BD1295" s="33"/>
      <c r="BE1295" s="33"/>
      <c r="BF1295" s="29"/>
      <c r="BG1295" s="29"/>
      <c r="BH1295" s="12"/>
      <c r="BI1295" s="12"/>
      <c r="BJ1295" s="12"/>
    </row>
    <row r="1296" spans="53:62" x14ac:dyDescent="0.25">
      <c r="BA1296" s="12"/>
      <c r="BB1296" s="30"/>
      <c r="BC1296" s="33"/>
      <c r="BD1296" s="33"/>
      <c r="BE1296" s="33"/>
      <c r="BF1296" s="29"/>
      <c r="BG1296" s="29"/>
      <c r="BH1296" s="12"/>
      <c r="BI1296" s="12"/>
      <c r="BJ1296" s="12"/>
    </row>
    <row r="1297" spans="53:62" x14ac:dyDescent="0.25">
      <c r="BA1297" s="12"/>
      <c r="BB1297" s="30"/>
      <c r="BC1297" s="33"/>
      <c r="BD1297" s="33"/>
      <c r="BE1297" s="33"/>
      <c r="BF1297" s="29"/>
      <c r="BG1297" s="29"/>
      <c r="BH1297" s="12"/>
      <c r="BI1297" s="12"/>
      <c r="BJ1297" s="12"/>
    </row>
    <row r="1298" spans="53:62" x14ac:dyDescent="0.25">
      <c r="BA1298" s="12"/>
      <c r="BB1298" s="30"/>
      <c r="BC1298" s="33"/>
      <c r="BD1298" s="33"/>
      <c r="BE1298" s="33"/>
      <c r="BF1298" s="29"/>
      <c r="BG1298" s="29"/>
      <c r="BH1298" s="12"/>
      <c r="BI1298" s="12"/>
      <c r="BJ1298" s="12"/>
    </row>
    <row r="1299" spans="53:62" x14ac:dyDescent="0.25">
      <c r="BA1299" s="12"/>
      <c r="BB1299" s="30"/>
      <c r="BC1299" s="33"/>
      <c r="BD1299" s="33"/>
      <c r="BE1299" s="33"/>
      <c r="BF1299" s="29"/>
      <c r="BG1299" s="29"/>
      <c r="BH1299" s="12"/>
      <c r="BI1299" s="12"/>
      <c r="BJ1299" s="12"/>
    </row>
    <row r="1300" spans="53:62" x14ac:dyDescent="0.25">
      <c r="BA1300" s="12"/>
      <c r="BB1300" s="30"/>
      <c r="BC1300" s="33"/>
      <c r="BD1300" s="33"/>
      <c r="BE1300" s="33"/>
      <c r="BF1300" s="29"/>
      <c r="BG1300" s="29"/>
      <c r="BH1300" s="12"/>
      <c r="BI1300" s="12"/>
      <c r="BJ1300" s="12"/>
    </row>
    <row r="1301" spans="53:62" x14ac:dyDescent="0.25">
      <c r="BA1301" s="12"/>
      <c r="BB1301" s="30"/>
      <c r="BC1301" s="33"/>
      <c r="BD1301" s="33"/>
      <c r="BE1301" s="33"/>
      <c r="BF1301" s="29"/>
      <c r="BG1301" s="29"/>
      <c r="BH1301" s="12"/>
      <c r="BI1301" s="12"/>
      <c r="BJ1301" s="12"/>
    </row>
    <row r="1302" spans="53:62" x14ac:dyDescent="0.25">
      <c r="BA1302" s="12"/>
      <c r="BB1302" s="30"/>
      <c r="BC1302" s="33"/>
      <c r="BD1302" s="33"/>
      <c r="BE1302" s="33"/>
      <c r="BF1302" s="29"/>
      <c r="BG1302" s="29"/>
      <c r="BH1302" s="12"/>
      <c r="BI1302" s="12"/>
      <c r="BJ1302" s="12"/>
    </row>
    <row r="1303" spans="53:62" x14ac:dyDescent="0.25">
      <c r="BA1303" s="12"/>
      <c r="BB1303" s="30"/>
      <c r="BC1303" s="33"/>
      <c r="BD1303" s="33"/>
      <c r="BE1303" s="33"/>
      <c r="BF1303" s="29"/>
      <c r="BG1303" s="29"/>
      <c r="BH1303" s="12"/>
      <c r="BI1303" s="12"/>
      <c r="BJ1303" s="12"/>
    </row>
    <row r="1304" spans="53:62" x14ac:dyDescent="0.25">
      <c r="BA1304" s="12"/>
      <c r="BB1304" s="30"/>
      <c r="BC1304" s="33"/>
      <c r="BD1304" s="33"/>
      <c r="BE1304" s="33"/>
      <c r="BF1304" s="29"/>
      <c r="BG1304" s="29"/>
      <c r="BH1304" s="12"/>
      <c r="BI1304" s="12"/>
      <c r="BJ1304" s="12"/>
    </row>
    <row r="1305" spans="53:62" x14ac:dyDescent="0.25">
      <c r="BA1305" s="12"/>
      <c r="BB1305" s="30"/>
      <c r="BC1305" s="33"/>
      <c r="BD1305" s="33"/>
      <c r="BE1305" s="33"/>
      <c r="BF1305" s="29"/>
      <c r="BG1305" s="29"/>
      <c r="BH1305" s="12"/>
      <c r="BI1305" s="12"/>
      <c r="BJ1305" s="12"/>
    </row>
    <row r="1306" spans="53:62" x14ac:dyDescent="0.25">
      <c r="BA1306" s="12"/>
      <c r="BB1306" s="30"/>
      <c r="BC1306" s="33"/>
      <c r="BD1306" s="33"/>
      <c r="BE1306" s="33"/>
      <c r="BF1306" s="29"/>
      <c r="BG1306" s="29"/>
      <c r="BH1306" s="12"/>
      <c r="BI1306" s="12"/>
      <c r="BJ1306" s="12"/>
    </row>
    <row r="1307" spans="53:62" x14ac:dyDescent="0.25">
      <c r="BA1307" s="12"/>
      <c r="BB1307" s="30"/>
      <c r="BC1307" s="33"/>
      <c r="BD1307" s="33"/>
      <c r="BE1307" s="33"/>
      <c r="BF1307" s="29"/>
      <c r="BG1307" s="29"/>
      <c r="BH1307" s="12"/>
      <c r="BI1307" s="12"/>
      <c r="BJ1307" s="12"/>
    </row>
    <row r="1308" spans="53:62" x14ac:dyDescent="0.25">
      <c r="BA1308" s="12"/>
      <c r="BB1308" s="30"/>
      <c r="BC1308" s="33"/>
      <c r="BD1308" s="33"/>
      <c r="BE1308" s="33"/>
      <c r="BF1308" s="29"/>
      <c r="BG1308" s="29"/>
      <c r="BH1308" s="12"/>
      <c r="BI1308" s="12"/>
      <c r="BJ1308" s="12"/>
    </row>
    <row r="1309" spans="53:62" x14ac:dyDescent="0.25">
      <c r="BA1309" s="12"/>
      <c r="BB1309" s="30"/>
      <c r="BC1309" s="33"/>
      <c r="BD1309" s="33"/>
      <c r="BE1309" s="33"/>
      <c r="BF1309" s="29"/>
      <c r="BG1309" s="29"/>
      <c r="BH1309" s="12"/>
      <c r="BI1309" s="12"/>
      <c r="BJ1309" s="12"/>
    </row>
    <row r="1310" spans="53:62" x14ac:dyDescent="0.25">
      <c r="BA1310" s="12"/>
      <c r="BB1310" s="30"/>
      <c r="BC1310" s="33"/>
      <c r="BD1310" s="33"/>
      <c r="BE1310" s="33"/>
      <c r="BF1310" s="29"/>
      <c r="BG1310" s="29"/>
      <c r="BH1310" s="12"/>
      <c r="BI1310" s="12"/>
      <c r="BJ1310" s="12"/>
    </row>
    <row r="1311" spans="53:62" x14ac:dyDescent="0.25">
      <c r="BA1311" s="12"/>
      <c r="BB1311" s="30"/>
      <c r="BC1311" s="33"/>
      <c r="BD1311" s="33"/>
      <c r="BE1311" s="33"/>
      <c r="BF1311" s="29"/>
      <c r="BG1311" s="29"/>
      <c r="BH1311" s="12"/>
      <c r="BI1311" s="12"/>
      <c r="BJ1311" s="12"/>
    </row>
    <row r="1312" spans="53:62" x14ac:dyDescent="0.25">
      <c r="BA1312" s="12"/>
      <c r="BB1312" s="30"/>
      <c r="BC1312" s="33"/>
      <c r="BD1312" s="33"/>
      <c r="BE1312" s="33"/>
      <c r="BF1312" s="29"/>
      <c r="BG1312" s="29"/>
      <c r="BH1312" s="12"/>
      <c r="BI1312" s="12"/>
      <c r="BJ1312" s="12"/>
    </row>
    <row r="1313" spans="53:62" x14ac:dyDescent="0.25">
      <c r="BA1313" s="12"/>
      <c r="BB1313" s="30"/>
      <c r="BC1313" s="33"/>
      <c r="BD1313" s="33"/>
      <c r="BE1313" s="33"/>
      <c r="BF1313" s="29"/>
      <c r="BG1313" s="29"/>
      <c r="BH1313" s="12"/>
      <c r="BI1313" s="12"/>
      <c r="BJ1313" s="12"/>
    </row>
    <row r="1314" spans="53:62" x14ac:dyDescent="0.25">
      <c r="BA1314" s="12"/>
      <c r="BB1314" s="30"/>
      <c r="BC1314" s="33"/>
      <c r="BD1314" s="33"/>
      <c r="BE1314" s="33"/>
      <c r="BF1314" s="29"/>
      <c r="BG1314" s="29"/>
      <c r="BH1314" s="12"/>
      <c r="BI1314" s="12"/>
      <c r="BJ1314" s="12"/>
    </row>
    <row r="1315" spans="53:62" x14ac:dyDescent="0.25">
      <c r="BA1315" s="12"/>
      <c r="BB1315" s="30"/>
      <c r="BC1315" s="33"/>
      <c r="BD1315" s="33"/>
      <c r="BE1315" s="33"/>
      <c r="BF1315" s="29"/>
      <c r="BG1315" s="29"/>
      <c r="BH1315" s="12"/>
      <c r="BI1315" s="12"/>
      <c r="BJ1315" s="12"/>
    </row>
    <row r="1316" spans="53:62" x14ac:dyDescent="0.25">
      <c r="BA1316" s="12"/>
      <c r="BB1316" s="30"/>
      <c r="BC1316" s="33"/>
      <c r="BD1316" s="33"/>
      <c r="BE1316" s="33"/>
      <c r="BF1316" s="29"/>
      <c r="BG1316" s="29"/>
      <c r="BH1316" s="12"/>
      <c r="BI1316" s="12"/>
      <c r="BJ1316" s="12"/>
    </row>
    <row r="1317" spans="53:62" x14ac:dyDescent="0.25">
      <c r="BA1317" s="12"/>
      <c r="BB1317" s="30"/>
      <c r="BC1317" s="33"/>
      <c r="BD1317" s="33"/>
      <c r="BE1317" s="33"/>
      <c r="BF1317" s="29"/>
      <c r="BG1317" s="29"/>
      <c r="BH1317" s="12"/>
      <c r="BI1317" s="12"/>
      <c r="BJ1317" s="12"/>
    </row>
    <row r="1318" spans="53:62" x14ac:dyDescent="0.25">
      <c r="BA1318" s="12"/>
      <c r="BB1318" s="30"/>
      <c r="BC1318" s="33"/>
      <c r="BD1318" s="33"/>
      <c r="BE1318" s="33"/>
      <c r="BF1318" s="29"/>
      <c r="BG1318" s="29"/>
      <c r="BH1318" s="12"/>
      <c r="BI1318" s="12"/>
      <c r="BJ1318" s="12"/>
    </row>
    <row r="1319" spans="53:62" x14ac:dyDescent="0.25">
      <c r="BA1319" s="12"/>
      <c r="BB1319" s="30"/>
      <c r="BC1319" s="33"/>
      <c r="BD1319" s="33"/>
      <c r="BE1319" s="33"/>
      <c r="BF1319" s="29"/>
      <c r="BG1319" s="29"/>
      <c r="BH1319" s="12"/>
      <c r="BI1319" s="12"/>
      <c r="BJ1319" s="12"/>
    </row>
    <row r="1320" spans="53:62" x14ac:dyDescent="0.25">
      <c r="BA1320" s="12"/>
      <c r="BB1320" s="30"/>
      <c r="BC1320" s="33"/>
      <c r="BD1320" s="33"/>
      <c r="BE1320" s="33"/>
      <c r="BF1320" s="29"/>
      <c r="BG1320" s="29"/>
      <c r="BH1320" s="12"/>
      <c r="BI1320" s="12"/>
      <c r="BJ1320" s="12"/>
    </row>
    <row r="1321" spans="53:62" x14ac:dyDescent="0.25">
      <c r="BA1321" s="12"/>
      <c r="BB1321" s="30"/>
      <c r="BC1321" s="33"/>
      <c r="BD1321" s="33"/>
      <c r="BE1321" s="33"/>
      <c r="BF1321" s="29"/>
      <c r="BG1321" s="29"/>
      <c r="BH1321" s="12"/>
      <c r="BI1321" s="12"/>
      <c r="BJ1321" s="12"/>
    </row>
    <row r="1322" spans="53:62" x14ac:dyDescent="0.25">
      <c r="BA1322" s="12"/>
      <c r="BB1322" s="30"/>
      <c r="BC1322" s="33"/>
      <c r="BD1322" s="33"/>
      <c r="BE1322" s="33"/>
      <c r="BF1322" s="29"/>
      <c r="BG1322" s="29"/>
      <c r="BH1322" s="12"/>
      <c r="BI1322" s="12"/>
      <c r="BJ1322" s="12"/>
    </row>
    <row r="1323" spans="53:62" x14ac:dyDescent="0.25">
      <c r="BA1323" s="12"/>
      <c r="BB1323" s="30"/>
      <c r="BC1323" s="33"/>
      <c r="BD1323" s="33"/>
      <c r="BE1323" s="33"/>
      <c r="BF1323" s="29"/>
      <c r="BG1323" s="29"/>
      <c r="BH1323" s="12"/>
      <c r="BI1323" s="12"/>
      <c r="BJ1323" s="12"/>
    </row>
    <row r="1324" spans="53:62" x14ac:dyDescent="0.25">
      <c r="BA1324" s="12"/>
      <c r="BB1324" s="30"/>
      <c r="BC1324" s="33"/>
      <c r="BD1324" s="33"/>
      <c r="BE1324" s="33"/>
      <c r="BF1324" s="29"/>
      <c r="BG1324" s="29"/>
      <c r="BH1324" s="12"/>
      <c r="BI1324" s="12"/>
      <c r="BJ1324" s="12"/>
    </row>
    <row r="1325" spans="53:62" x14ac:dyDescent="0.25">
      <c r="BA1325" s="12"/>
      <c r="BB1325" s="30"/>
      <c r="BC1325" s="33"/>
      <c r="BD1325" s="33"/>
      <c r="BE1325" s="33"/>
      <c r="BF1325" s="29"/>
      <c r="BG1325" s="29"/>
      <c r="BH1325" s="12"/>
      <c r="BI1325" s="12"/>
      <c r="BJ1325" s="12"/>
    </row>
    <row r="1326" spans="53:62" x14ac:dyDescent="0.25">
      <c r="BA1326" s="12"/>
      <c r="BB1326" s="30"/>
      <c r="BC1326" s="33"/>
      <c r="BD1326" s="33"/>
      <c r="BE1326" s="33"/>
      <c r="BF1326" s="29"/>
      <c r="BG1326" s="29"/>
      <c r="BH1326" s="12"/>
      <c r="BI1326" s="12"/>
      <c r="BJ1326" s="12"/>
    </row>
    <row r="1327" spans="53:62" x14ac:dyDescent="0.25">
      <c r="BA1327" s="12"/>
      <c r="BB1327" s="30"/>
      <c r="BC1327" s="33"/>
      <c r="BD1327" s="33"/>
      <c r="BE1327" s="33"/>
      <c r="BF1327" s="29"/>
      <c r="BG1327" s="29"/>
      <c r="BH1327" s="12"/>
      <c r="BI1327" s="12"/>
      <c r="BJ1327" s="12"/>
    </row>
    <row r="1328" spans="53:62" x14ac:dyDescent="0.25">
      <c r="BA1328" s="12"/>
      <c r="BB1328" s="30"/>
      <c r="BC1328" s="33"/>
      <c r="BD1328" s="33"/>
      <c r="BE1328" s="33"/>
      <c r="BF1328" s="29"/>
      <c r="BG1328" s="29"/>
      <c r="BH1328" s="12"/>
      <c r="BI1328" s="12"/>
      <c r="BJ1328" s="12"/>
    </row>
    <row r="1329" spans="53:62" x14ac:dyDescent="0.25">
      <c r="BA1329" s="12"/>
      <c r="BB1329" s="30"/>
      <c r="BC1329" s="33"/>
      <c r="BD1329" s="33"/>
      <c r="BE1329" s="33"/>
      <c r="BF1329" s="29"/>
      <c r="BG1329" s="29"/>
      <c r="BH1329" s="12"/>
      <c r="BI1329" s="12"/>
      <c r="BJ1329" s="12"/>
    </row>
    <row r="1330" spans="53:62" x14ac:dyDescent="0.25">
      <c r="BA1330" s="12"/>
      <c r="BB1330" s="30"/>
      <c r="BC1330" s="33"/>
      <c r="BD1330" s="33"/>
      <c r="BE1330" s="33"/>
      <c r="BF1330" s="29"/>
      <c r="BG1330" s="29"/>
      <c r="BH1330" s="12"/>
      <c r="BI1330" s="12"/>
      <c r="BJ1330" s="12"/>
    </row>
    <row r="1331" spans="53:62" x14ac:dyDescent="0.25">
      <c r="BA1331" s="12"/>
      <c r="BB1331" s="30"/>
      <c r="BC1331" s="33"/>
      <c r="BD1331" s="33"/>
      <c r="BE1331" s="33"/>
      <c r="BF1331" s="29"/>
      <c r="BG1331" s="29"/>
      <c r="BH1331" s="12"/>
      <c r="BI1331" s="12"/>
      <c r="BJ1331" s="12"/>
    </row>
    <row r="1332" spans="53:62" x14ac:dyDescent="0.25">
      <c r="BA1332" s="12"/>
      <c r="BB1332" s="30"/>
      <c r="BC1332" s="33"/>
      <c r="BD1332" s="33"/>
      <c r="BE1332" s="33"/>
      <c r="BF1332" s="29"/>
      <c r="BG1332" s="29"/>
      <c r="BH1332" s="12"/>
      <c r="BI1332" s="12"/>
      <c r="BJ1332" s="12"/>
    </row>
    <row r="1333" spans="53:62" x14ac:dyDescent="0.25">
      <c r="BA1333" s="12"/>
      <c r="BB1333" s="30"/>
      <c r="BC1333" s="33"/>
      <c r="BD1333" s="33"/>
      <c r="BE1333" s="33"/>
      <c r="BF1333" s="29"/>
      <c r="BG1333" s="29"/>
      <c r="BH1333" s="12"/>
      <c r="BI1333" s="12"/>
      <c r="BJ1333" s="12"/>
    </row>
    <row r="1334" spans="53:62" x14ac:dyDescent="0.25">
      <c r="BA1334" s="12"/>
      <c r="BB1334" s="30"/>
      <c r="BC1334" s="33"/>
      <c r="BD1334" s="33"/>
      <c r="BE1334" s="33"/>
      <c r="BF1334" s="29"/>
      <c r="BG1334" s="29"/>
      <c r="BH1334" s="12"/>
      <c r="BI1334" s="12"/>
      <c r="BJ1334" s="12"/>
    </row>
    <row r="1335" spans="53:62" x14ac:dyDescent="0.25">
      <c r="BA1335" s="12"/>
      <c r="BB1335" s="30"/>
      <c r="BC1335" s="33"/>
      <c r="BD1335" s="33"/>
      <c r="BE1335" s="33"/>
      <c r="BF1335" s="29"/>
      <c r="BG1335" s="29"/>
      <c r="BH1335" s="12"/>
      <c r="BI1335" s="12"/>
      <c r="BJ1335" s="12"/>
    </row>
    <row r="1336" spans="53:62" x14ac:dyDescent="0.25">
      <c r="BA1336" s="12"/>
      <c r="BB1336" s="30"/>
      <c r="BC1336" s="33"/>
      <c r="BD1336" s="33"/>
      <c r="BE1336" s="33"/>
      <c r="BF1336" s="29"/>
      <c r="BG1336" s="29"/>
      <c r="BH1336" s="12"/>
      <c r="BI1336" s="12"/>
      <c r="BJ1336" s="12"/>
    </row>
    <row r="1337" spans="53:62" x14ac:dyDescent="0.25">
      <c r="BA1337" s="12"/>
      <c r="BB1337" s="30"/>
      <c r="BC1337" s="33"/>
      <c r="BD1337" s="33"/>
      <c r="BE1337" s="33"/>
      <c r="BF1337" s="29"/>
      <c r="BG1337" s="29"/>
      <c r="BH1337" s="12"/>
      <c r="BI1337" s="12"/>
      <c r="BJ1337" s="12"/>
    </row>
    <row r="1338" spans="53:62" x14ac:dyDescent="0.25">
      <c r="BA1338" s="12"/>
      <c r="BB1338" s="30"/>
      <c r="BC1338" s="33"/>
      <c r="BD1338" s="33"/>
      <c r="BE1338" s="33"/>
      <c r="BF1338" s="29"/>
      <c r="BG1338" s="29"/>
      <c r="BH1338" s="12"/>
      <c r="BI1338" s="12"/>
      <c r="BJ1338" s="12"/>
    </row>
    <row r="1339" spans="53:62" x14ac:dyDescent="0.25">
      <c r="BA1339" s="12"/>
      <c r="BB1339" s="30"/>
      <c r="BC1339" s="33"/>
      <c r="BD1339" s="33"/>
      <c r="BE1339" s="33"/>
      <c r="BF1339" s="29"/>
      <c r="BG1339" s="29"/>
      <c r="BH1339" s="12"/>
      <c r="BI1339" s="12"/>
      <c r="BJ1339" s="12"/>
    </row>
    <row r="1340" spans="53:62" x14ac:dyDescent="0.25">
      <c r="BA1340" s="12"/>
      <c r="BB1340" s="30"/>
      <c r="BC1340" s="33"/>
      <c r="BD1340" s="33"/>
      <c r="BE1340" s="33"/>
      <c r="BF1340" s="29"/>
      <c r="BG1340" s="29"/>
      <c r="BH1340" s="12"/>
      <c r="BI1340" s="12"/>
      <c r="BJ1340" s="12"/>
    </row>
    <row r="1341" spans="53:62" x14ac:dyDescent="0.25">
      <c r="BA1341" s="12"/>
      <c r="BB1341" s="30"/>
      <c r="BC1341" s="33"/>
      <c r="BD1341" s="33"/>
      <c r="BE1341" s="33"/>
      <c r="BF1341" s="29"/>
      <c r="BG1341" s="29"/>
      <c r="BH1341" s="12"/>
      <c r="BI1341" s="12"/>
      <c r="BJ1341" s="12"/>
    </row>
    <row r="1342" spans="53:62" x14ac:dyDescent="0.25">
      <c r="BA1342" s="12"/>
      <c r="BB1342" s="30"/>
      <c r="BC1342" s="33"/>
      <c r="BD1342" s="33"/>
      <c r="BE1342" s="33"/>
      <c r="BF1342" s="29"/>
      <c r="BG1342" s="29"/>
      <c r="BH1342" s="12"/>
      <c r="BI1342" s="12"/>
      <c r="BJ1342" s="12"/>
    </row>
    <row r="1343" spans="53:62" x14ac:dyDescent="0.25">
      <c r="BA1343" s="12"/>
      <c r="BB1343" s="30"/>
      <c r="BC1343" s="33"/>
      <c r="BD1343" s="33"/>
      <c r="BE1343" s="33"/>
      <c r="BF1343" s="29"/>
      <c r="BG1343" s="29"/>
      <c r="BH1343" s="12"/>
      <c r="BI1343" s="12"/>
      <c r="BJ1343" s="12"/>
    </row>
    <row r="1344" spans="53:62" x14ac:dyDescent="0.25">
      <c r="BA1344" s="12"/>
      <c r="BB1344" s="30"/>
      <c r="BC1344" s="33"/>
      <c r="BD1344" s="33"/>
      <c r="BE1344" s="33"/>
      <c r="BF1344" s="29"/>
      <c r="BG1344" s="29"/>
      <c r="BH1344" s="12"/>
      <c r="BI1344" s="12"/>
      <c r="BJ1344" s="12"/>
    </row>
    <row r="1345" spans="53:62" x14ac:dyDescent="0.25">
      <c r="BA1345" s="12"/>
      <c r="BB1345" s="30"/>
      <c r="BC1345" s="33"/>
      <c r="BD1345" s="33"/>
      <c r="BE1345" s="33"/>
      <c r="BF1345" s="29"/>
      <c r="BG1345" s="29"/>
      <c r="BH1345" s="12"/>
      <c r="BI1345" s="12"/>
      <c r="BJ1345" s="12"/>
    </row>
    <row r="1346" spans="53:62" x14ac:dyDescent="0.25">
      <c r="BA1346" s="12"/>
      <c r="BB1346" s="30"/>
      <c r="BC1346" s="33"/>
      <c r="BD1346" s="33"/>
      <c r="BE1346" s="33"/>
      <c r="BF1346" s="29"/>
      <c r="BG1346" s="29"/>
      <c r="BH1346" s="12"/>
      <c r="BI1346" s="12"/>
      <c r="BJ1346" s="12"/>
    </row>
    <row r="1347" spans="53:62" x14ac:dyDescent="0.25">
      <c r="BA1347" s="12"/>
      <c r="BB1347" s="30"/>
      <c r="BC1347" s="33"/>
      <c r="BD1347" s="33"/>
      <c r="BE1347" s="33"/>
      <c r="BF1347" s="29"/>
      <c r="BG1347" s="29"/>
      <c r="BH1347" s="12"/>
      <c r="BI1347" s="12"/>
      <c r="BJ1347" s="12"/>
    </row>
    <row r="1348" spans="53:62" x14ac:dyDescent="0.25">
      <c r="BA1348" s="12"/>
      <c r="BB1348" s="30"/>
      <c r="BC1348" s="33"/>
      <c r="BD1348" s="33"/>
      <c r="BE1348" s="33"/>
      <c r="BF1348" s="29"/>
      <c r="BG1348" s="29"/>
      <c r="BH1348" s="12"/>
      <c r="BI1348" s="12"/>
      <c r="BJ1348" s="12"/>
    </row>
    <row r="1349" spans="53:62" x14ac:dyDescent="0.25">
      <c r="BA1349" s="12"/>
      <c r="BB1349" s="30"/>
      <c r="BC1349" s="33"/>
      <c r="BD1349" s="33"/>
      <c r="BE1349" s="33"/>
      <c r="BF1349" s="29"/>
      <c r="BG1349" s="29"/>
      <c r="BH1349" s="12"/>
      <c r="BI1349" s="12"/>
      <c r="BJ1349" s="12"/>
    </row>
    <row r="1350" spans="53:62" x14ac:dyDescent="0.25">
      <c r="BA1350" s="12"/>
      <c r="BB1350" s="30"/>
      <c r="BC1350" s="33"/>
      <c r="BD1350" s="33"/>
      <c r="BE1350" s="33"/>
      <c r="BF1350" s="29"/>
      <c r="BG1350" s="29"/>
      <c r="BH1350" s="12"/>
      <c r="BI1350" s="12"/>
      <c r="BJ1350" s="12"/>
    </row>
    <row r="1351" spans="53:62" x14ac:dyDescent="0.25">
      <c r="BA1351" s="12"/>
      <c r="BB1351" s="30"/>
      <c r="BC1351" s="33"/>
      <c r="BD1351" s="33"/>
      <c r="BE1351" s="33"/>
      <c r="BF1351" s="29"/>
      <c r="BG1351" s="29"/>
      <c r="BH1351" s="12"/>
      <c r="BI1351" s="12"/>
      <c r="BJ1351" s="12"/>
    </row>
    <row r="1352" spans="53:62" x14ac:dyDescent="0.25">
      <c r="BA1352" s="12"/>
      <c r="BB1352" s="30"/>
      <c r="BC1352" s="33"/>
      <c r="BD1352" s="33"/>
      <c r="BE1352" s="33"/>
      <c r="BF1352" s="29"/>
      <c r="BG1352" s="29"/>
      <c r="BH1352" s="12"/>
      <c r="BI1352" s="12"/>
      <c r="BJ1352" s="12"/>
    </row>
    <row r="1353" spans="53:62" x14ac:dyDescent="0.25">
      <c r="BA1353" s="12"/>
      <c r="BB1353" s="30"/>
      <c r="BC1353" s="33"/>
      <c r="BD1353" s="33"/>
      <c r="BE1353" s="33"/>
      <c r="BF1353" s="29"/>
      <c r="BG1353" s="29"/>
      <c r="BH1353" s="12"/>
      <c r="BI1353" s="12"/>
      <c r="BJ1353" s="12"/>
    </row>
    <row r="1354" spans="53:62" x14ac:dyDescent="0.25">
      <c r="BA1354" s="12"/>
      <c r="BB1354" s="30"/>
      <c r="BC1354" s="33"/>
      <c r="BD1354" s="33"/>
      <c r="BE1354" s="33"/>
      <c r="BF1354" s="29"/>
      <c r="BG1354" s="29"/>
      <c r="BH1354" s="12"/>
      <c r="BI1354" s="12"/>
      <c r="BJ1354" s="12"/>
    </row>
    <row r="1355" spans="53:62" x14ac:dyDescent="0.25">
      <c r="BA1355" s="12"/>
      <c r="BB1355" s="30"/>
      <c r="BC1355" s="33"/>
      <c r="BD1355" s="33"/>
      <c r="BE1355" s="33"/>
      <c r="BF1355" s="29"/>
      <c r="BG1355" s="29"/>
      <c r="BH1355" s="12"/>
      <c r="BI1355" s="12"/>
      <c r="BJ1355" s="12"/>
    </row>
    <row r="1356" spans="53:62" x14ac:dyDescent="0.25">
      <c r="BA1356" s="12"/>
      <c r="BB1356" s="30"/>
      <c r="BC1356" s="33"/>
      <c r="BD1356" s="33"/>
      <c r="BE1356" s="33"/>
      <c r="BF1356" s="29"/>
      <c r="BG1356" s="29"/>
      <c r="BH1356" s="12"/>
      <c r="BI1356" s="12"/>
      <c r="BJ1356" s="12"/>
    </row>
    <row r="1357" spans="53:62" x14ac:dyDescent="0.25">
      <c r="BA1357" s="12"/>
      <c r="BB1357" s="30"/>
      <c r="BC1357" s="33"/>
      <c r="BD1357" s="33"/>
      <c r="BE1357" s="33"/>
      <c r="BF1357" s="29"/>
      <c r="BG1357" s="29"/>
      <c r="BH1357" s="12"/>
      <c r="BI1357" s="12"/>
      <c r="BJ1357" s="12"/>
    </row>
    <row r="1358" spans="53:62" x14ac:dyDescent="0.25">
      <c r="BA1358" s="12"/>
      <c r="BB1358" s="30"/>
      <c r="BC1358" s="33"/>
      <c r="BD1358" s="33"/>
      <c r="BE1358" s="33"/>
      <c r="BF1358" s="29"/>
      <c r="BG1358" s="29"/>
      <c r="BH1358" s="12"/>
      <c r="BI1358" s="12"/>
      <c r="BJ1358" s="12"/>
    </row>
    <row r="1359" spans="53:62" x14ac:dyDescent="0.25">
      <c r="BA1359" s="12"/>
      <c r="BB1359" s="30"/>
      <c r="BC1359" s="33"/>
      <c r="BD1359" s="33"/>
      <c r="BE1359" s="33"/>
      <c r="BF1359" s="29"/>
      <c r="BG1359" s="29"/>
      <c r="BH1359" s="12"/>
      <c r="BI1359" s="12"/>
      <c r="BJ1359" s="12"/>
    </row>
    <row r="1360" spans="53:62" x14ac:dyDescent="0.25">
      <c r="BA1360" s="12"/>
      <c r="BB1360" s="30"/>
      <c r="BC1360" s="33"/>
      <c r="BD1360" s="33"/>
      <c r="BE1360" s="33"/>
      <c r="BF1360" s="29"/>
      <c r="BG1360" s="29"/>
      <c r="BH1360" s="12"/>
      <c r="BI1360" s="12"/>
      <c r="BJ1360" s="12"/>
    </row>
    <row r="1361" spans="53:62" x14ac:dyDescent="0.25">
      <c r="BA1361" s="12"/>
      <c r="BB1361" s="30"/>
      <c r="BC1361" s="33"/>
      <c r="BD1361" s="33"/>
      <c r="BE1361" s="33"/>
      <c r="BF1361" s="29"/>
      <c r="BG1361" s="29"/>
      <c r="BH1361" s="12"/>
      <c r="BI1361" s="12"/>
      <c r="BJ1361" s="12"/>
    </row>
    <row r="1362" spans="53:62" x14ac:dyDescent="0.25">
      <c r="BA1362" s="12"/>
      <c r="BB1362" s="30"/>
      <c r="BC1362" s="33"/>
      <c r="BD1362" s="33"/>
      <c r="BE1362" s="33"/>
      <c r="BF1362" s="29"/>
      <c r="BG1362" s="29"/>
      <c r="BH1362" s="12"/>
      <c r="BI1362" s="12"/>
      <c r="BJ1362" s="12"/>
    </row>
    <row r="1363" spans="53:62" x14ac:dyDescent="0.25">
      <c r="BA1363" s="12"/>
      <c r="BB1363" s="30"/>
      <c r="BC1363" s="33"/>
      <c r="BD1363" s="33"/>
      <c r="BE1363" s="33"/>
      <c r="BF1363" s="29"/>
      <c r="BG1363" s="29"/>
      <c r="BH1363" s="12"/>
      <c r="BI1363" s="12"/>
      <c r="BJ1363" s="12"/>
    </row>
    <row r="1364" spans="53:62" x14ac:dyDescent="0.25">
      <c r="BA1364" s="12"/>
      <c r="BB1364" s="30"/>
      <c r="BC1364" s="33"/>
      <c r="BD1364" s="33"/>
      <c r="BE1364" s="33"/>
      <c r="BF1364" s="29"/>
      <c r="BG1364" s="29"/>
      <c r="BH1364" s="12"/>
      <c r="BI1364" s="12"/>
      <c r="BJ1364" s="12"/>
    </row>
    <row r="1365" spans="53:62" x14ac:dyDescent="0.25">
      <c r="BA1365" s="12"/>
      <c r="BB1365" s="30"/>
      <c r="BC1365" s="33"/>
      <c r="BD1365" s="33"/>
      <c r="BE1365" s="33"/>
      <c r="BF1365" s="29"/>
      <c r="BG1365" s="29"/>
      <c r="BH1365" s="12"/>
      <c r="BI1365" s="12"/>
      <c r="BJ1365" s="12"/>
    </row>
    <row r="1366" spans="53:62" x14ac:dyDescent="0.25">
      <c r="BA1366" s="12"/>
      <c r="BB1366" s="30"/>
      <c r="BC1366" s="33"/>
      <c r="BD1366" s="33"/>
      <c r="BE1366" s="33"/>
      <c r="BF1366" s="29"/>
      <c r="BG1366" s="29"/>
      <c r="BH1366" s="12"/>
      <c r="BI1366" s="12"/>
      <c r="BJ1366" s="12"/>
    </row>
    <row r="1367" spans="53:62" x14ac:dyDescent="0.25">
      <c r="BA1367" s="12"/>
      <c r="BB1367" s="30"/>
      <c r="BC1367" s="33"/>
      <c r="BD1367" s="33"/>
      <c r="BE1367" s="33"/>
      <c r="BF1367" s="29"/>
      <c r="BG1367" s="29"/>
      <c r="BH1367" s="12"/>
      <c r="BI1367" s="12"/>
      <c r="BJ1367" s="12"/>
    </row>
    <row r="1368" spans="53:62" x14ac:dyDescent="0.25">
      <c r="BA1368" s="12"/>
      <c r="BB1368" s="30"/>
      <c r="BC1368" s="33"/>
      <c r="BD1368" s="33"/>
      <c r="BE1368" s="33"/>
      <c r="BF1368" s="29"/>
      <c r="BG1368" s="29"/>
      <c r="BH1368" s="12"/>
      <c r="BI1368" s="12"/>
      <c r="BJ1368" s="12"/>
    </row>
    <row r="1369" spans="53:62" x14ac:dyDescent="0.25">
      <c r="BA1369" s="12"/>
      <c r="BB1369" s="30"/>
      <c r="BC1369" s="33"/>
      <c r="BD1369" s="33"/>
      <c r="BE1369" s="33"/>
      <c r="BF1369" s="29"/>
      <c r="BG1369" s="29"/>
      <c r="BH1369" s="12"/>
      <c r="BI1369" s="12"/>
      <c r="BJ1369" s="12"/>
    </row>
    <row r="1370" spans="53:62" x14ac:dyDescent="0.25">
      <c r="BA1370" s="12"/>
      <c r="BB1370" s="30"/>
      <c r="BC1370" s="33"/>
      <c r="BD1370" s="33"/>
      <c r="BE1370" s="33"/>
      <c r="BF1370" s="29"/>
      <c r="BG1370" s="29"/>
      <c r="BH1370" s="12"/>
      <c r="BI1370" s="12"/>
      <c r="BJ1370" s="12"/>
    </row>
    <row r="1371" spans="53:62" x14ac:dyDescent="0.25">
      <c r="BA1371" s="12"/>
      <c r="BB1371" s="30"/>
      <c r="BC1371" s="33"/>
      <c r="BD1371" s="33"/>
      <c r="BE1371" s="33"/>
      <c r="BF1371" s="29"/>
      <c r="BG1371" s="29"/>
      <c r="BH1371" s="12"/>
      <c r="BI1371" s="12"/>
      <c r="BJ1371" s="12"/>
    </row>
    <row r="1372" spans="53:62" x14ac:dyDescent="0.25">
      <c r="BA1372" s="12"/>
      <c r="BB1372" s="30"/>
      <c r="BC1372" s="33"/>
      <c r="BD1372" s="33"/>
      <c r="BE1372" s="33"/>
      <c r="BF1372" s="29"/>
      <c r="BG1372" s="29"/>
      <c r="BH1372" s="12"/>
      <c r="BI1372" s="12"/>
      <c r="BJ1372" s="12"/>
    </row>
    <row r="1373" spans="53:62" x14ac:dyDescent="0.25">
      <c r="BA1373" s="12"/>
      <c r="BB1373" s="30"/>
      <c r="BC1373" s="33"/>
      <c r="BD1373" s="33"/>
      <c r="BE1373" s="33"/>
      <c r="BF1373" s="29"/>
      <c r="BG1373" s="29"/>
      <c r="BH1373" s="12"/>
      <c r="BI1373" s="12"/>
      <c r="BJ1373" s="12"/>
    </row>
    <row r="1374" spans="53:62" x14ac:dyDescent="0.25">
      <c r="BA1374" s="12"/>
      <c r="BB1374" s="30"/>
      <c r="BC1374" s="33"/>
      <c r="BD1374" s="33"/>
      <c r="BE1374" s="33"/>
      <c r="BF1374" s="29"/>
      <c r="BG1374" s="29"/>
      <c r="BH1374" s="12"/>
      <c r="BI1374" s="12"/>
      <c r="BJ1374" s="12"/>
    </row>
    <row r="1375" spans="53:62" x14ac:dyDescent="0.25">
      <c r="BA1375" s="12"/>
      <c r="BB1375" s="30"/>
      <c r="BC1375" s="33"/>
      <c r="BD1375" s="33"/>
      <c r="BE1375" s="33"/>
      <c r="BF1375" s="29"/>
      <c r="BG1375" s="29"/>
      <c r="BH1375" s="12"/>
      <c r="BI1375" s="12"/>
      <c r="BJ1375" s="12"/>
    </row>
    <row r="1376" spans="53:62" x14ac:dyDescent="0.25">
      <c r="BA1376" s="12"/>
      <c r="BB1376" s="30"/>
      <c r="BC1376" s="33"/>
      <c r="BD1376" s="33"/>
      <c r="BE1376" s="33"/>
      <c r="BF1376" s="29"/>
      <c r="BG1376" s="29"/>
      <c r="BH1376" s="12"/>
      <c r="BI1376" s="12"/>
      <c r="BJ1376" s="12"/>
    </row>
    <row r="1377" spans="53:62" x14ac:dyDescent="0.25">
      <c r="BA1377" s="12"/>
      <c r="BB1377" s="30"/>
      <c r="BC1377" s="33"/>
      <c r="BD1377" s="33"/>
      <c r="BE1377" s="33"/>
      <c r="BF1377" s="29"/>
      <c r="BG1377" s="29"/>
      <c r="BH1377" s="12"/>
      <c r="BI1377" s="12"/>
      <c r="BJ1377" s="12"/>
    </row>
    <row r="1378" spans="53:62" x14ac:dyDescent="0.25">
      <c r="BA1378" s="12"/>
      <c r="BB1378" s="30"/>
      <c r="BC1378" s="33"/>
      <c r="BD1378" s="33"/>
      <c r="BE1378" s="33"/>
      <c r="BF1378" s="29"/>
      <c r="BG1378" s="29"/>
      <c r="BH1378" s="12"/>
      <c r="BI1378" s="12"/>
      <c r="BJ1378" s="12"/>
    </row>
    <row r="1379" spans="53:62" x14ac:dyDescent="0.25">
      <c r="BA1379" s="12"/>
      <c r="BB1379" s="30"/>
      <c r="BC1379" s="33"/>
      <c r="BD1379" s="33"/>
      <c r="BE1379" s="33"/>
      <c r="BF1379" s="29"/>
      <c r="BG1379" s="29"/>
      <c r="BH1379" s="12"/>
      <c r="BI1379" s="12"/>
      <c r="BJ1379" s="12"/>
    </row>
    <row r="1380" spans="53:62" x14ac:dyDescent="0.25">
      <c r="BA1380" s="12"/>
      <c r="BB1380" s="30"/>
      <c r="BC1380" s="33"/>
      <c r="BD1380" s="33"/>
      <c r="BE1380" s="33"/>
      <c r="BF1380" s="29"/>
      <c r="BG1380" s="29"/>
      <c r="BH1380" s="12"/>
      <c r="BI1380" s="12"/>
      <c r="BJ1380" s="12"/>
    </row>
    <row r="1381" spans="53:62" x14ac:dyDescent="0.25">
      <c r="BA1381" s="12"/>
      <c r="BB1381" s="30"/>
      <c r="BC1381" s="33"/>
      <c r="BD1381" s="33"/>
      <c r="BE1381" s="33"/>
      <c r="BF1381" s="29"/>
      <c r="BG1381" s="29"/>
      <c r="BH1381" s="12"/>
      <c r="BI1381" s="12"/>
      <c r="BJ1381" s="12"/>
    </row>
    <row r="1382" spans="53:62" x14ac:dyDescent="0.25">
      <c r="BA1382" s="12"/>
      <c r="BB1382" s="30"/>
      <c r="BC1382" s="33"/>
      <c r="BD1382" s="33"/>
      <c r="BE1382" s="33"/>
      <c r="BF1382" s="29"/>
      <c r="BG1382" s="29"/>
      <c r="BH1382" s="12"/>
      <c r="BI1382" s="12"/>
      <c r="BJ1382" s="12"/>
    </row>
    <row r="1383" spans="53:62" x14ac:dyDescent="0.25">
      <c r="BA1383" s="12"/>
      <c r="BB1383" s="30"/>
      <c r="BC1383" s="33"/>
      <c r="BD1383" s="33"/>
      <c r="BE1383" s="33"/>
      <c r="BF1383" s="29"/>
      <c r="BG1383" s="29"/>
      <c r="BH1383" s="12"/>
      <c r="BI1383" s="12"/>
      <c r="BJ1383" s="12"/>
    </row>
    <row r="1384" spans="53:62" x14ac:dyDescent="0.25">
      <c r="BA1384" s="12"/>
      <c r="BB1384" s="30"/>
      <c r="BC1384" s="33"/>
      <c r="BD1384" s="33"/>
      <c r="BE1384" s="33"/>
      <c r="BF1384" s="29"/>
      <c r="BG1384" s="29"/>
      <c r="BH1384" s="12"/>
      <c r="BI1384" s="12"/>
      <c r="BJ1384" s="12"/>
    </row>
    <row r="1385" spans="53:62" x14ac:dyDescent="0.25">
      <c r="BA1385" s="12"/>
      <c r="BB1385" s="30"/>
      <c r="BC1385" s="33"/>
      <c r="BD1385" s="33"/>
      <c r="BE1385" s="33"/>
      <c r="BF1385" s="29"/>
      <c r="BG1385" s="29"/>
      <c r="BH1385" s="12"/>
      <c r="BI1385" s="12"/>
      <c r="BJ1385" s="12"/>
    </row>
    <row r="1386" spans="53:62" x14ac:dyDescent="0.25">
      <c r="BA1386" s="12"/>
      <c r="BB1386" s="30"/>
      <c r="BC1386" s="33"/>
      <c r="BD1386" s="33"/>
      <c r="BE1386" s="33"/>
      <c r="BF1386" s="29"/>
      <c r="BG1386" s="29"/>
      <c r="BH1386" s="12"/>
      <c r="BI1386" s="12"/>
      <c r="BJ1386" s="12"/>
    </row>
    <row r="1387" spans="53:62" x14ac:dyDescent="0.25">
      <c r="BA1387" s="12"/>
      <c r="BB1387" s="30"/>
      <c r="BC1387" s="33"/>
      <c r="BD1387" s="33"/>
      <c r="BE1387" s="33"/>
      <c r="BF1387" s="29"/>
      <c r="BG1387" s="29"/>
      <c r="BH1387" s="12"/>
      <c r="BI1387" s="12"/>
      <c r="BJ1387" s="12"/>
    </row>
    <row r="1388" spans="53:62" x14ac:dyDescent="0.25">
      <c r="BA1388" s="12"/>
      <c r="BB1388" s="30"/>
      <c r="BC1388" s="33"/>
      <c r="BD1388" s="33"/>
      <c r="BE1388" s="33"/>
      <c r="BF1388" s="29"/>
      <c r="BG1388" s="29"/>
      <c r="BH1388" s="12"/>
      <c r="BI1388" s="12"/>
      <c r="BJ1388" s="12"/>
    </row>
    <row r="1389" spans="53:62" x14ac:dyDescent="0.25">
      <c r="BA1389" s="12"/>
      <c r="BB1389" s="30"/>
      <c r="BC1389" s="33"/>
      <c r="BD1389" s="33"/>
      <c r="BE1389" s="33"/>
      <c r="BF1389" s="29"/>
      <c r="BG1389" s="29"/>
      <c r="BH1389" s="12"/>
      <c r="BI1389" s="12"/>
      <c r="BJ1389" s="12"/>
    </row>
    <row r="1390" spans="53:62" x14ac:dyDescent="0.25">
      <c r="BA1390" s="12"/>
      <c r="BB1390" s="30"/>
      <c r="BC1390" s="33"/>
      <c r="BD1390" s="33"/>
      <c r="BE1390" s="33"/>
      <c r="BF1390" s="29"/>
      <c r="BG1390" s="29"/>
      <c r="BH1390" s="12"/>
      <c r="BI1390" s="12"/>
      <c r="BJ1390" s="12"/>
    </row>
    <row r="1391" spans="53:62" x14ac:dyDescent="0.25">
      <c r="BA1391" s="12"/>
      <c r="BB1391" s="30"/>
      <c r="BC1391" s="33"/>
      <c r="BD1391" s="33"/>
      <c r="BE1391" s="33"/>
      <c r="BF1391" s="29"/>
      <c r="BG1391" s="29"/>
      <c r="BH1391" s="12"/>
      <c r="BI1391" s="12"/>
      <c r="BJ1391" s="12"/>
    </row>
    <row r="1392" spans="53:62" x14ac:dyDescent="0.25">
      <c r="BA1392" s="12"/>
      <c r="BB1392" s="30"/>
      <c r="BC1392" s="33"/>
      <c r="BD1392" s="33"/>
      <c r="BE1392" s="33"/>
      <c r="BF1392" s="29"/>
      <c r="BG1392" s="29"/>
      <c r="BH1392" s="12"/>
      <c r="BI1392" s="12"/>
      <c r="BJ1392" s="12"/>
    </row>
    <row r="1393" spans="53:62" x14ac:dyDescent="0.25">
      <c r="BA1393" s="12"/>
      <c r="BB1393" s="30"/>
      <c r="BC1393" s="33"/>
      <c r="BD1393" s="33"/>
      <c r="BE1393" s="33"/>
      <c r="BF1393" s="29"/>
      <c r="BG1393" s="29"/>
      <c r="BH1393" s="12"/>
      <c r="BI1393" s="12"/>
      <c r="BJ1393" s="12"/>
    </row>
    <row r="1394" spans="53:62" x14ac:dyDescent="0.25">
      <c r="BA1394" s="12"/>
      <c r="BB1394" s="30"/>
      <c r="BC1394" s="33"/>
      <c r="BD1394" s="33"/>
      <c r="BE1394" s="33"/>
      <c r="BF1394" s="29"/>
      <c r="BG1394" s="29"/>
      <c r="BH1394" s="12"/>
      <c r="BI1394" s="12"/>
      <c r="BJ1394" s="12"/>
    </row>
    <row r="1395" spans="53:62" x14ac:dyDescent="0.25">
      <c r="BA1395" s="12"/>
      <c r="BB1395" s="30"/>
      <c r="BC1395" s="33"/>
      <c r="BD1395" s="33"/>
      <c r="BE1395" s="33"/>
      <c r="BF1395" s="29"/>
      <c r="BG1395" s="29"/>
      <c r="BH1395" s="12"/>
      <c r="BI1395" s="12"/>
      <c r="BJ1395" s="12"/>
    </row>
    <row r="1396" spans="53:62" x14ac:dyDescent="0.25">
      <c r="BA1396" s="12"/>
      <c r="BB1396" s="30"/>
      <c r="BC1396" s="33"/>
      <c r="BD1396" s="33"/>
      <c r="BE1396" s="33"/>
      <c r="BF1396" s="29"/>
      <c r="BG1396" s="29"/>
      <c r="BH1396" s="12"/>
      <c r="BI1396" s="12"/>
      <c r="BJ1396" s="12"/>
    </row>
    <row r="1397" spans="53:62" x14ac:dyDescent="0.25">
      <c r="BA1397" s="12"/>
      <c r="BB1397" s="30"/>
      <c r="BC1397" s="33"/>
      <c r="BD1397" s="33"/>
      <c r="BE1397" s="33"/>
      <c r="BF1397" s="29"/>
      <c r="BG1397" s="29"/>
      <c r="BH1397" s="12"/>
      <c r="BI1397" s="12"/>
      <c r="BJ1397" s="12"/>
    </row>
    <row r="1398" spans="53:62" x14ac:dyDescent="0.25">
      <c r="BA1398" s="12"/>
      <c r="BB1398" s="30"/>
      <c r="BC1398" s="33"/>
      <c r="BD1398" s="33"/>
      <c r="BE1398" s="33"/>
      <c r="BF1398" s="29"/>
      <c r="BG1398" s="29"/>
      <c r="BH1398" s="12"/>
      <c r="BI1398" s="12"/>
      <c r="BJ1398" s="12"/>
    </row>
    <row r="1399" spans="53:62" x14ac:dyDescent="0.25">
      <c r="BA1399" s="12"/>
      <c r="BB1399" s="30"/>
      <c r="BC1399" s="33"/>
      <c r="BD1399" s="33"/>
      <c r="BE1399" s="33"/>
      <c r="BF1399" s="29"/>
      <c r="BG1399" s="29"/>
      <c r="BH1399" s="12"/>
      <c r="BI1399" s="12"/>
      <c r="BJ1399" s="12"/>
    </row>
    <row r="1400" spans="53:62" x14ac:dyDescent="0.25">
      <c r="BA1400" s="12"/>
      <c r="BB1400" s="30"/>
      <c r="BC1400" s="33"/>
      <c r="BD1400" s="33"/>
      <c r="BE1400" s="33"/>
      <c r="BF1400" s="29"/>
      <c r="BG1400" s="29"/>
      <c r="BH1400" s="12"/>
      <c r="BI1400" s="12"/>
      <c r="BJ1400" s="12"/>
    </row>
    <row r="1401" spans="53:62" x14ac:dyDescent="0.25">
      <c r="BA1401" s="12"/>
      <c r="BB1401" s="30"/>
      <c r="BC1401" s="33"/>
      <c r="BD1401" s="33"/>
      <c r="BE1401" s="33"/>
      <c r="BF1401" s="29"/>
      <c r="BG1401" s="29"/>
      <c r="BH1401" s="12"/>
      <c r="BI1401" s="12"/>
      <c r="BJ1401" s="12"/>
    </row>
    <row r="1402" spans="53:62" x14ac:dyDescent="0.25">
      <c r="BA1402" s="12"/>
      <c r="BB1402" s="30"/>
      <c r="BC1402" s="33"/>
      <c r="BD1402" s="33"/>
      <c r="BE1402" s="33"/>
      <c r="BF1402" s="29"/>
      <c r="BG1402" s="29"/>
      <c r="BH1402" s="12"/>
      <c r="BI1402" s="12"/>
      <c r="BJ1402" s="12"/>
    </row>
    <row r="1403" spans="53:62" x14ac:dyDescent="0.25">
      <c r="BA1403" s="12"/>
      <c r="BB1403" s="30"/>
      <c r="BC1403" s="33"/>
      <c r="BD1403" s="33"/>
      <c r="BE1403" s="33"/>
      <c r="BF1403" s="29"/>
      <c r="BG1403" s="29"/>
      <c r="BH1403" s="12"/>
      <c r="BI1403" s="12"/>
      <c r="BJ1403" s="12"/>
    </row>
    <row r="1404" spans="53:62" x14ac:dyDescent="0.25">
      <c r="BA1404" s="12"/>
      <c r="BB1404" s="30"/>
      <c r="BC1404" s="33"/>
      <c r="BD1404" s="33"/>
      <c r="BE1404" s="33"/>
      <c r="BF1404" s="29"/>
      <c r="BG1404" s="29"/>
      <c r="BH1404" s="12"/>
      <c r="BI1404" s="12"/>
      <c r="BJ1404" s="12"/>
    </row>
    <row r="1405" spans="53:62" x14ac:dyDescent="0.25">
      <c r="BA1405" s="12"/>
      <c r="BB1405" s="30"/>
      <c r="BC1405" s="33"/>
      <c r="BD1405" s="33"/>
      <c r="BE1405" s="33"/>
      <c r="BF1405" s="29"/>
      <c r="BG1405" s="29"/>
      <c r="BH1405" s="12"/>
      <c r="BI1405" s="12"/>
      <c r="BJ1405" s="12"/>
    </row>
    <row r="1406" spans="53:62" x14ac:dyDescent="0.25">
      <c r="BA1406" s="12"/>
      <c r="BB1406" s="30"/>
      <c r="BC1406" s="33"/>
      <c r="BD1406" s="33"/>
      <c r="BE1406" s="33"/>
      <c r="BF1406" s="29"/>
      <c r="BG1406" s="29"/>
      <c r="BH1406" s="12"/>
      <c r="BI1406" s="12"/>
      <c r="BJ1406" s="12"/>
    </row>
    <row r="1407" spans="53:62" x14ac:dyDescent="0.25">
      <c r="BA1407" s="12"/>
      <c r="BB1407" s="30"/>
      <c r="BC1407" s="33"/>
      <c r="BD1407" s="33"/>
      <c r="BE1407" s="33"/>
      <c r="BF1407" s="29"/>
      <c r="BG1407" s="29"/>
      <c r="BH1407" s="12"/>
      <c r="BI1407" s="12"/>
      <c r="BJ1407" s="12"/>
    </row>
    <row r="1408" spans="53:62" x14ac:dyDescent="0.25">
      <c r="BA1408" s="12"/>
      <c r="BB1408" s="30"/>
      <c r="BC1408" s="33"/>
      <c r="BD1408" s="33"/>
      <c r="BE1408" s="33"/>
      <c r="BF1408" s="29"/>
      <c r="BG1408" s="29"/>
      <c r="BH1408" s="12"/>
      <c r="BI1408" s="12"/>
      <c r="BJ1408" s="12"/>
    </row>
    <row r="1409" spans="53:62" x14ac:dyDescent="0.25">
      <c r="BA1409" s="12"/>
      <c r="BB1409" s="30"/>
      <c r="BC1409" s="33"/>
      <c r="BD1409" s="33"/>
      <c r="BE1409" s="33"/>
      <c r="BF1409" s="29"/>
      <c r="BG1409" s="29"/>
      <c r="BH1409" s="12"/>
      <c r="BI1409" s="12"/>
      <c r="BJ1409" s="12"/>
    </row>
    <row r="1410" spans="53:62" x14ac:dyDescent="0.25">
      <c r="BA1410" s="12"/>
      <c r="BB1410" s="30"/>
      <c r="BC1410" s="33"/>
      <c r="BD1410" s="33"/>
      <c r="BE1410" s="33"/>
      <c r="BF1410" s="29"/>
      <c r="BG1410" s="29"/>
      <c r="BH1410" s="12"/>
      <c r="BI1410" s="12"/>
      <c r="BJ1410" s="12"/>
    </row>
    <row r="1411" spans="53:62" x14ac:dyDescent="0.25">
      <c r="BA1411" s="12"/>
      <c r="BB1411" s="30"/>
      <c r="BC1411" s="33"/>
      <c r="BD1411" s="33"/>
      <c r="BE1411" s="33"/>
      <c r="BF1411" s="29"/>
      <c r="BG1411" s="29"/>
      <c r="BH1411" s="12"/>
      <c r="BI1411" s="12"/>
      <c r="BJ1411" s="12"/>
    </row>
    <row r="1412" spans="53:62" x14ac:dyDescent="0.25">
      <c r="BA1412" s="12"/>
      <c r="BB1412" s="30"/>
      <c r="BC1412" s="33"/>
      <c r="BD1412" s="33"/>
      <c r="BE1412" s="33"/>
      <c r="BF1412" s="29"/>
      <c r="BG1412" s="29"/>
      <c r="BH1412" s="12"/>
      <c r="BI1412" s="12"/>
      <c r="BJ1412" s="12"/>
    </row>
    <row r="1413" spans="53:62" x14ac:dyDescent="0.25">
      <c r="BA1413" s="12"/>
      <c r="BB1413" s="30"/>
      <c r="BC1413" s="33"/>
      <c r="BD1413" s="33"/>
      <c r="BE1413" s="33"/>
      <c r="BF1413" s="29"/>
      <c r="BG1413" s="29"/>
      <c r="BH1413" s="12"/>
      <c r="BI1413" s="12"/>
      <c r="BJ1413" s="12"/>
    </row>
    <row r="1414" spans="53:62" x14ac:dyDescent="0.25">
      <c r="BA1414" s="12"/>
      <c r="BB1414" s="30"/>
      <c r="BC1414" s="33"/>
      <c r="BD1414" s="33"/>
      <c r="BE1414" s="33"/>
      <c r="BF1414" s="29"/>
      <c r="BG1414" s="29"/>
      <c r="BH1414" s="12"/>
      <c r="BI1414" s="12"/>
      <c r="BJ1414" s="12"/>
    </row>
    <row r="1415" spans="53:62" x14ac:dyDescent="0.25">
      <c r="BA1415" s="12"/>
      <c r="BB1415" s="30"/>
      <c r="BC1415" s="33"/>
      <c r="BD1415" s="33"/>
      <c r="BE1415" s="33"/>
      <c r="BF1415" s="29"/>
      <c r="BG1415" s="29"/>
      <c r="BH1415" s="12"/>
      <c r="BI1415" s="12"/>
      <c r="BJ1415" s="12"/>
    </row>
    <row r="1416" spans="53:62" x14ac:dyDescent="0.25">
      <c r="BA1416" s="12"/>
      <c r="BB1416" s="30"/>
      <c r="BC1416" s="33"/>
      <c r="BD1416" s="33"/>
      <c r="BE1416" s="33"/>
      <c r="BF1416" s="29"/>
      <c r="BG1416" s="29"/>
      <c r="BH1416" s="12"/>
      <c r="BI1416" s="12"/>
      <c r="BJ1416" s="12"/>
    </row>
    <row r="1417" spans="53:62" x14ac:dyDescent="0.25">
      <c r="BA1417" s="12"/>
      <c r="BB1417" s="30"/>
      <c r="BC1417" s="33"/>
      <c r="BD1417" s="33"/>
      <c r="BE1417" s="33"/>
      <c r="BF1417" s="29"/>
      <c r="BG1417" s="29"/>
      <c r="BH1417" s="12"/>
      <c r="BI1417" s="12"/>
      <c r="BJ1417" s="12"/>
    </row>
    <row r="1418" spans="53:62" x14ac:dyDescent="0.25">
      <c r="BA1418" s="12"/>
      <c r="BB1418" s="30"/>
      <c r="BC1418" s="33"/>
      <c r="BD1418" s="33"/>
      <c r="BE1418" s="33"/>
      <c r="BF1418" s="29"/>
      <c r="BG1418" s="29"/>
      <c r="BH1418" s="12"/>
      <c r="BI1418" s="12"/>
      <c r="BJ1418" s="12"/>
    </row>
    <row r="1419" spans="53:62" x14ac:dyDescent="0.25">
      <c r="BA1419" s="12"/>
      <c r="BB1419" s="30"/>
      <c r="BC1419" s="33"/>
      <c r="BD1419" s="33"/>
      <c r="BE1419" s="33"/>
      <c r="BF1419" s="29"/>
      <c r="BG1419" s="29"/>
      <c r="BH1419" s="12"/>
      <c r="BI1419" s="12"/>
      <c r="BJ1419" s="12"/>
    </row>
    <row r="1420" spans="53:62" x14ac:dyDescent="0.25">
      <c r="BA1420" s="12"/>
      <c r="BB1420" s="30"/>
      <c r="BC1420" s="33"/>
      <c r="BD1420" s="33"/>
      <c r="BE1420" s="33"/>
      <c r="BF1420" s="29"/>
      <c r="BG1420" s="29"/>
      <c r="BH1420" s="12"/>
      <c r="BI1420" s="12"/>
      <c r="BJ1420" s="12"/>
    </row>
    <row r="1421" spans="53:62" x14ac:dyDescent="0.25">
      <c r="BA1421" s="12"/>
      <c r="BB1421" s="30"/>
      <c r="BC1421" s="33"/>
      <c r="BD1421" s="33"/>
      <c r="BE1421" s="33"/>
      <c r="BF1421" s="29"/>
      <c r="BG1421" s="29"/>
      <c r="BH1421" s="12"/>
      <c r="BI1421" s="12"/>
      <c r="BJ1421" s="12"/>
    </row>
    <row r="1422" spans="53:62" x14ac:dyDescent="0.25">
      <c r="BA1422" s="12"/>
      <c r="BB1422" s="30"/>
      <c r="BC1422" s="33"/>
      <c r="BD1422" s="33"/>
      <c r="BE1422" s="33"/>
      <c r="BF1422" s="29"/>
      <c r="BG1422" s="29"/>
      <c r="BH1422" s="12"/>
      <c r="BI1422" s="12"/>
      <c r="BJ1422" s="12"/>
    </row>
    <row r="1423" spans="53:62" x14ac:dyDescent="0.25">
      <c r="BA1423" s="12"/>
      <c r="BB1423" s="30"/>
      <c r="BC1423" s="33"/>
      <c r="BD1423" s="33"/>
      <c r="BE1423" s="33"/>
      <c r="BF1423" s="29"/>
      <c r="BG1423" s="29"/>
      <c r="BH1423" s="12"/>
      <c r="BI1423" s="12"/>
      <c r="BJ1423" s="12"/>
    </row>
    <row r="1424" spans="53:62" x14ac:dyDescent="0.25">
      <c r="BA1424" s="12"/>
      <c r="BB1424" s="30"/>
      <c r="BC1424" s="33"/>
      <c r="BD1424" s="33"/>
      <c r="BE1424" s="33"/>
      <c r="BF1424" s="29"/>
      <c r="BG1424" s="29"/>
      <c r="BH1424" s="12"/>
      <c r="BI1424" s="12"/>
      <c r="BJ1424" s="12"/>
    </row>
    <row r="1425" spans="53:62" x14ac:dyDescent="0.25">
      <c r="BA1425" s="12"/>
      <c r="BB1425" s="30"/>
      <c r="BC1425" s="33"/>
      <c r="BD1425" s="33"/>
      <c r="BE1425" s="33"/>
      <c r="BF1425" s="29"/>
      <c r="BG1425" s="29"/>
      <c r="BH1425" s="12"/>
      <c r="BI1425" s="12"/>
      <c r="BJ1425" s="12"/>
    </row>
    <row r="1426" spans="53:62" x14ac:dyDescent="0.25">
      <c r="BA1426" s="12"/>
      <c r="BB1426" s="30"/>
      <c r="BC1426" s="33"/>
      <c r="BD1426" s="33"/>
      <c r="BE1426" s="33"/>
      <c r="BF1426" s="29"/>
      <c r="BG1426" s="29"/>
      <c r="BH1426" s="12"/>
      <c r="BI1426" s="12"/>
      <c r="BJ1426" s="12"/>
    </row>
    <row r="1427" spans="53:62" x14ac:dyDescent="0.25">
      <c r="BA1427" s="12"/>
      <c r="BB1427" s="30"/>
      <c r="BC1427" s="33"/>
      <c r="BD1427" s="33"/>
      <c r="BE1427" s="33"/>
      <c r="BF1427" s="29"/>
      <c r="BG1427" s="29"/>
      <c r="BH1427" s="12"/>
      <c r="BI1427" s="12"/>
      <c r="BJ1427" s="12"/>
    </row>
    <row r="1428" spans="53:62" x14ac:dyDescent="0.25">
      <c r="BA1428" s="12"/>
      <c r="BB1428" s="30"/>
      <c r="BC1428" s="33"/>
      <c r="BD1428" s="33"/>
      <c r="BE1428" s="33"/>
      <c r="BF1428" s="29"/>
      <c r="BG1428" s="29"/>
      <c r="BH1428" s="12"/>
      <c r="BI1428" s="12"/>
      <c r="BJ1428" s="12"/>
    </row>
    <row r="1429" spans="53:62" x14ac:dyDescent="0.25">
      <c r="BA1429" s="12"/>
      <c r="BB1429" s="30"/>
      <c r="BC1429" s="33"/>
      <c r="BD1429" s="33"/>
      <c r="BE1429" s="33"/>
      <c r="BF1429" s="29"/>
      <c r="BG1429" s="29"/>
      <c r="BH1429" s="12"/>
      <c r="BI1429" s="12"/>
      <c r="BJ1429" s="12"/>
    </row>
    <row r="1430" spans="53:62" x14ac:dyDescent="0.25">
      <c r="BA1430" s="12"/>
      <c r="BB1430" s="30"/>
      <c r="BC1430" s="33"/>
      <c r="BD1430" s="33"/>
      <c r="BE1430" s="33"/>
      <c r="BF1430" s="29"/>
      <c r="BG1430" s="29"/>
      <c r="BH1430" s="12"/>
      <c r="BI1430" s="12"/>
      <c r="BJ1430" s="12"/>
    </row>
    <row r="1431" spans="53:62" x14ac:dyDescent="0.25">
      <c r="BA1431" s="12"/>
      <c r="BB1431" s="30"/>
      <c r="BC1431" s="33"/>
      <c r="BD1431" s="33"/>
      <c r="BE1431" s="33"/>
      <c r="BF1431" s="29"/>
      <c r="BG1431" s="29"/>
      <c r="BH1431" s="12"/>
      <c r="BI1431" s="12"/>
      <c r="BJ1431" s="12"/>
    </row>
    <row r="1432" spans="53:62" x14ac:dyDescent="0.25">
      <c r="BA1432" s="12"/>
      <c r="BB1432" s="30"/>
      <c r="BC1432" s="33"/>
      <c r="BD1432" s="33"/>
      <c r="BE1432" s="33"/>
      <c r="BF1432" s="29"/>
      <c r="BG1432" s="29"/>
      <c r="BH1432" s="12"/>
      <c r="BI1432" s="12"/>
      <c r="BJ1432" s="12"/>
    </row>
    <row r="1433" spans="53:62" x14ac:dyDescent="0.25">
      <c r="BA1433" s="12"/>
      <c r="BB1433" s="30"/>
      <c r="BC1433" s="33"/>
      <c r="BD1433" s="33"/>
      <c r="BE1433" s="33"/>
      <c r="BF1433" s="29"/>
      <c r="BG1433" s="29"/>
      <c r="BH1433" s="12"/>
      <c r="BI1433" s="12"/>
      <c r="BJ1433" s="12"/>
    </row>
    <row r="1434" spans="53:62" x14ac:dyDescent="0.25">
      <c r="BA1434" s="12"/>
      <c r="BB1434" s="30"/>
      <c r="BC1434" s="33"/>
      <c r="BD1434" s="33"/>
      <c r="BE1434" s="33"/>
      <c r="BF1434" s="29"/>
      <c r="BG1434" s="29"/>
      <c r="BH1434" s="12"/>
      <c r="BI1434" s="12"/>
      <c r="BJ1434" s="12"/>
    </row>
    <row r="1435" spans="53:62" x14ac:dyDescent="0.25">
      <c r="BA1435" s="12"/>
      <c r="BB1435" s="30"/>
      <c r="BC1435" s="33"/>
      <c r="BD1435" s="33"/>
      <c r="BE1435" s="33"/>
      <c r="BF1435" s="29"/>
      <c r="BG1435" s="29"/>
      <c r="BH1435" s="12"/>
      <c r="BI1435" s="12"/>
      <c r="BJ1435" s="12"/>
    </row>
    <row r="1436" spans="53:62" x14ac:dyDescent="0.25">
      <c r="BA1436" s="12"/>
      <c r="BB1436" s="30"/>
      <c r="BC1436" s="33"/>
      <c r="BD1436" s="33"/>
      <c r="BE1436" s="33"/>
      <c r="BF1436" s="29"/>
      <c r="BG1436" s="29"/>
      <c r="BH1436" s="12"/>
      <c r="BI1436" s="12"/>
      <c r="BJ1436" s="12"/>
    </row>
    <row r="1437" spans="53:62" x14ac:dyDescent="0.25">
      <c r="BA1437" s="12"/>
      <c r="BB1437" s="30"/>
      <c r="BC1437" s="33"/>
      <c r="BD1437" s="33"/>
      <c r="BE1437" s="33"/>
      <c r="BF1437" s="29"/>
      <c r="BG1437" s="29"/>
      <c r="BH1437" s="12"/>
      <c r="BI1437" s="12"/>
      <c r="BJ1437" s="12"/>
    </row>
    <row r="1438" spans="53:62" x14ac:dyDescent="0.25">
      <c r="BA1438" s="12"/>
      <c r="BB1438" s="30"/>
      <c r="BC1438" s="33"/>
      <c r="BD1438" s="33"/>
      <c r="BE1438" s="33"/>
      <c r="BF1438" s="29"/>
      <c r="BG1438" s="29"/>
      <c r="BH1438" s="12"/>
      <c r="BI1438" s="12"/>
      <c r="BJ1438" s="12"/>
    </row>
    <row r="1439" spans="53:62" x14ac:dyDescent="0.25">
      <c r="BA1439" s="12"/>
      <c r="BB1439" s="30"/>
      <c r="BC1439" s="33"/>
      <c r="BD1439" s="33"/>
      <c r="BE1439" s="33"/>
      <c r="BF1439" s="29"/>
      <c r="BG1439" s="29"/>
      <c r="BH1439" s="12"/>
      <c r="BI1439" s="12"/>
      <c r="BJ1439" s="12"/>
    </row>
    <row r="1440" spans="53:62" x14ac:dyDescent="0.25">
      <c r="BA1440" s="12"/>
      <c r="BB1440" s="30"/>
      <c r="BC1440" s="33"/>
      <c r="BD1440" s="33"/>
      <c r="BE1440" s="33"/>
      <c r="BF1440" s="29"/>
      <c r="BG1440" s="29"/>
      <c r="BH1440" s="12"/>
      <c r="BI1440" s="12"/>
      <c r="BJ1440" s="12"/>
    </row>
    <row r="1441" spans="53:62" x14ac:dyDescent="0.25">
      <c r="BA1441" s="12"/>
      <c r="BB1441" s="30"/>
      <c r="BC1441" s="33"/>
      <c r="BD1441" s="33"/>
      <c r="BE1441" s="33"/>
      <c r="BF1441" s="29"/>
      <c r="BG1441" s="29"/>
      <c r="BH1441" s="12"/>
      <c r="BI1441" s="12"/>
      <c r="BJ1441" s="12"/>
    </row>
    <row r="1442" spans="53:62" x14ac:dyDescent="0.25">
      <c r="BA1442" s="12"/>
      <c r="BB1442" s="30"/>
      <c r="BC1442" s="33"/>
      <c r="BD1442" s="33"/>
      <c r="BE1442" s="33"/>
      <c r="BF1442" s="29"/>
      <c r="BG1442" s="29"/>
      <c r="BH1442" s="12"/>
      <c r="BI1442" s="12"/>
      <c r="BJ1442" s="12"/>
    </row>
    <row r="1443" spans="53:62" x14ac:dyDescent="0.25">
      <c r="BA1443" s="12"/>
      <c r="BB1443" s="30"/>
      <c r="BC1443" s="33"/>
      <c r="BD1443" s="33"/>
      <c r="BE1443" s="33"/>
      <c r="BF1443" s="29"/>
      <c r="BG1443" s="29"/>
      <c r="BH1443" s="12"/>
      <c r="BI1443" s="12"/>
      <c r="BJ1443" s="12"/>
    </row>
    <row r="1444" spans="53:62" x14ac:dyDescent="0.25">
      <c r="BA1444" s="12"/>
      <c r="BB1444" s="30"/>
      <c r="BC1444" s="33"/>
      <c r="BD1444" s="33"/>
      <c r="BE1444" s="33"/>
      <c r="BF1444" s="29"/>
      <c r="BG1444" s="29"/>
      <c r="BH1444" s="12"/>
      <c r="BI1444" s="12"/>
      <c r="BJ1444" s="12"/>
    </row>
    <row r="1445" spans="53:62" x14ac:dyDescent="0.25">
      <c r="BA1445" s="12"/>
      <c r="BB1445" s="30"/>
      <c r="BC1445" s="33"/>
      <c r="BD1445" s="33"/>
      <c r="BE1445" s="33"/>
      <c r="BF1445" s="29"/>
      <c r="BG1445" s="29"/>
      <c r="BH1445" s="12"/>
      <c r="BI1445" s="12"/>
      <c r="BJ1445" s="12"/>
    </row>
    <row r="1446" spans="53:62" x14ac:dyDescent="0.25">
      <c r="BA1446" s="12"/>
      <c r="BB1446" s="30"/>
      <c r="BC1446" s="33"/>
      <c r="BD1446" s="33"/>
      <c r="BE1446" s="33"/>
      <c r="BF1446" s="29"/>
      <c r="BG1446" s="29"/>
      <c r="BH1446" s="12"/>
      <c r="BI1446" s="12"/>
      <c r="BJ1446" s="12"/>
    </row>
    <row r="1447" spans="53:62" x14ac:dyDescent="0.25">
      <c r="BA1447" s="12"/>
      <c r="BB1447" s="30"/>
      <c r="BC1447" s="33"/>
      <c r="BD1447" s="33"/>
      <c r="BE1447" s="33"/>
      <c r="BF1447" s="29"/>
      <c r="BG1447" s="29"/>
      <c r="BH1447" s="12"/>
      <c r="BI1447" s="12"/>
      <c r="BJ1447" s="12"/>
    </row>
    <row r="1448" spans="53:62" x14ac:dyDescent="0.25">
      <c r="BA1448" s="12"/>
      <c r="BB1448" s="30"/>
      <c r="BC1448" s="33"/>
      <c r="BD1448" s="33"/>
      <c r="BE1448" s="33"/>
      <c r="BF1448" s="29"/>
      <c r="BG1448" s="29"/>
      <c r="BH1448" s="12"/>
      <c r="BI1448" s="12"/>
      <c r="BJ1448" s="12"/>
    </row>
    <row r="1449" spans="53:62" x14ac:dyDescent="0.25">
      <c r="BA1449" s="12"/>
      <c r="BB1449" s="30"/>
      <c r="BC1449" s="33"/>
      <c r="BD1449" s="33"/>
      <c r="BE1449" s="33"/>
      <c r="BF1449" s="29"/>
      <c r="BG1449" s="29"/>
      <c r="BH1449" s="12"/>
      <c r="BI1449" s="12"/>
      <c r="BJ1449" s="12"/>
    </row>
    <row r="1450" spans="53:62" x14ac:dyDescent="0.25">
      <c r="BA1450" s="12"/>
      <c r="BB1450" s="30"/>
      <c r="BC1450" s="33"/>
      <c r="BD1450" s="33"/>
      <c r="BE1450" s="33"/>
      <c r="BF1450" s="29"/>
      <c r="BG1450" s="29"/>
      <c r="BH1450" s="12"/>
      <c r="BI1450" s="12"/>
      <c r="BJ1450" s="12"/>
    </row>
    <row r="1451" spans="53:62" x14ac:dyDescent="0.25">
      <c r="BA1451" s="12"/>
      <c r="BB1451" s="30"/>
      <c r="BC1451" s="33"/>
      <c r="BD1451" s="33"/>
      <c r="BE1451" s="33"/>
      <c r="BF1451" s="29"/>
      <c r="BG1451" s="29"/>
      <c r="BH1451" s="12"/>
      <c r="BI1451" s="12"/>
      <c r="BJ1451" s="12"/>
    </row>
    <row r="1452" spans="53:62" x14ac:dyDescent="0.25">
      <c r="BA1452" s="12"/>
      <c r="BB1452" s="30"/>
      <c r="BC1452" s="33"/>
      <c r="BD1452" s="33"/>
      <c r="BE1452" s="33"/>
      <c r="BF1452" s="29"/>
      <c r="BG1452" s="29"/>
      <c r="BH1452" s="12"/>
      <c r="BI1452" s="12"/>
      <c r="BJ1452" s="12"/>
    </row>
    <row r="1453" spans="53:62" x14ac:dyDescent="0.25">
      <c r="BA1453" s="12"/>
      <c r="BB1453" s="30"/>
      <c r="BC1453" s="33"/>
      <c r="BD1453" s="33"/>
      <c r="BE1453" s="33"/>
      <c r="BF1453" s="29"/>
      <c r="BG1453" s="29"/>
      <c r="BH1453" s="12"/>
      <c r="BI1453" s="12"/>
      <c r="BJ1453" s="12"/>
    </row>
    <row r="1454" spans="53:62" x14ac:dyDescent="0.25">
      <c r="BA1454" s="12"/>
      <c r="BB1454" s="30"/>
      <c r="BC1454" s="33"/>
      <c r="BD1454" s="33"/>
      <c r="BE1454" s="33"/>
      <c r="BF1454" s="29"/>
      <c r="BG1454" s="29"/>
      <c r="BH1454" s="12"/>
      <c r="BI1454" s="12"/>
      <c r="BJ1454" s="12"/>
    </row>
    <row r="1455" spans="53:62" x14ac:dyDescent="0.25">
      <c r="BA1455" s="12"/>
      <c r="BB1455" s="30"/>
      <c r="BC1455" s="33"/>
      <c r="BD1455" s="33"/>
      <c r="BE1455" s="33"/>
      <c r="BF1455" s="29"/>
      <c r="BG1455" s="29"/>
      <c r="BH1455" s="12"/>
      <c r="BI1455" s="12"/>
      <c r="BJ1455" s="12"/>
    </row>
    <row r="1456" spans="53:62" x14ac:dyDescent="0.25">
      <c r="BA1456" s="12"/>
      <c r="BB1456" s="30"/>
      <c r="BC1456" s="33"/>
      <c r="BD1456" s="33"/>
      <c r="BE1456" s="33"/>
      <c r="BF1456" s="29"/>
      <c r="BG1456" s="29"/>
      <c r="BH1456" s="12"/>
      <c r="BI1456" s="12"/>
      <c r="BJ1456" s="12"/>
    </row>
    <row r="1457" spans="53:62" x14ac:dyDescent="0.25">
      <c r="BA1457" s="12"/>
      <c r="BB1457" s="30"/>
      <c r="BC1457" s="33"/>
      <c r="BD1457" s="33"/>
      <c r="BE1457" s="33"/>
      <c r="BF1457" s="29"/>
      <c r="BG1457" s="29"/>
      <c r="BH1457" s="12"/>
      <c r="BI1457" s="12"/>
      <c r="BJ1457" s="12"/>
    </row>
    <row r="1458" spans="53:62" x14ac:dyDescent="0.25">
      <c r="BA1458" s="12"/>
      <c r="BB1458" s="30"/>
      <c r="BC1458" s="33"/>
      <c r="BD1458" s="33"/>
      <c r="BE1458" s="33"/>
      <c r="BF1458" s="29"/>
      <c r="BG1458" s="29"/>
      <c r="BH1458" s="12"/>
      <c r="BI1458" s="12"/>
      <c r="BJ1458" s="12"/>
    </row>
    <row r="1459" spans="53:62" x14ac:dyDescent="0.25">
      <c r="BA1459" s="12"/>
      <c r="BB1459" s="30"/>
      <c r="BC1459" s="33"/>
      <c r="BD1459" s="33"/>
      <c r="BE1459" s="33"/>
      <c r="BF1459" s="29"/>
      <c r="BG1459" s="29"/>
      <c r="BH1459" s="12"/>
      <c r="BI1459" s="12"/>
      <c r="BJ1459" s="12"/>
    </row>
    <row r="1460" spans="53:62" x14ac:dyDescent="0.25">
      <c r="BA1460" s="12"/>
      <c r="BB1460" s="30"/>
      <c r="BC1460" s="33"/>
      <c r="BD1460" s="33"/>
      <c r="BE1460" s="33"/>
      <c r="BF1460" s="29"/>
      <c r="BG1460" s="29"/>
      <c r="BH1460" s="12"/>
      <c r="BI1460" s="12"/>
      <c r="BJ1460" s="12"/>
    </row>
    <row r="1461" spans="53:62" x14ac:dyDescent="0.25">
      <c r="BA1461" s="12"/>
      <c r="BB1461" s="30"/>
      <c r="BC1461" s="33"/>
      <c r="BD1461" s="33"/>
      <c r="BE1461" s="33"/>
      <c r="BF1461" s="29"/>
      <c r="BG1461" s="29"/>
      <c r="BH1461" s="12"/>
      <c r="BI1461" s="12"/>
      <c r="BJ1461" s="12"/>
    </row>
    <row r="1462" spans="53:62" x14ac:dyDescent="0.25">
      <c r="BA1462" s="12"/>
      <c r="BB1462" s="30"/>
      <c r="BC1462" s="33"/>
      <c r="BD1462" s="33"/>
      <c r="BE1462" s="33"/>
      <c r="BF1462" s="29"/>
      <c r="BG1462" s="29"/>
      <c r="BH1462" s="12"/>
      <c r="BI1462" s="12"/>
      <c r="BJ1462" s="12"/>
    </row>
    <row r="1463" spans="53:62" x14ac:dyDescent="0.25">
      <c r="BA1463" s="12"/>
      <c r="BB1463" s="30"/>
      <c r="BC1463" s="33"/>
      <c r="BD1463" s="33"/>
      <c r="BE1463" s="33"/>
      <c r="BF1463" s="29"/>
      <c r="BG1463" s="29"/>
      <c r="BH1463" s="12"/>
      <c r="BI1463" s="12"/>
      <c r="BJ1463" s="12"/>
    </row>
    <row r="1464" spans="53:62" x14ac:dyDescent="0.25">
      <c r="BA1464" s="12"/>
      <c r="BB1464" s="30"/>
      <c r="BC1464" s="33"/>
      <c r="BD1464" s="33"/>
      <c r="BE1464" s="33"/>
      <c r="BF1464" s="29"/>
      <c r="BG1464" s="29"/>
      <c r="BH1464" s="12"/>
      <c r="BI1464" s="12"/>
      <c r="BJ1464" s="12"/>
    </row>
    <row r="1465" spans="53:62" x14ac:dyDescent="0.25">
      <c r="BA1465" s="12"/>
      <c r="BB1465" s="30"/>
      <c r="BC1465" s="33"/>
      <c r="BD1465" s="33"/>
      <c r="BE1465" s="33"/>
      <c r="BF1465" s="29"/>
      <c r="BG1465" s="29"/>
      <c r="BH1465" s="12"/>
      <c r="BI1465" s="12"/>
      <c r="BJ1465" s="12"/>
    </row>
    <row r="1466" spans="53:62" x14ac:dyDescent="0.25">
      <c r="BA1466" s="12"/>
      <c r="BB1466" s="30"/>
      <c r="BC1466" s="33"/>
      <c r="BD1466" s="33"/>
      <c r="BE1466" s="33"/>
      <c r="BF1466" s="29"/>
      <c r="BG1466" s="29"/>
      <c r="BH1466" s="12"/>
      <c r="BI1466" s="12"/>
      <c r="BJ1466" s="12"/>
    </row>
    <row r="1467" spans="53:62" x14ac:dyDescent="0.25">
      <c r="BA1467" s="12"/>
      <c r="BB1467" s="30"/>
      <c r="BC1467" s="33"/>
      <c r="BD1467" s="33"/>
      <c r="BE1467" s="33"/>
      <c r="BF1467" s="29"/>
      <c r="BG1467" s="29"/>
      <c r="BH1467" s="12"/>
      <c r="BI1467" s="12"/>
      <c r="BJ1467" s="12"/>
    </row>
    <row r="1468" spans="53:62" x14ac:dyDescent="0.25">
      <c r="BA1468" s="12"/>
      <c r="BB1468" s="30"/>
      <c r="BC1468" s="33"/>
      <c r="BD1468" s="33"/>
      <c r="BE1468" s="33"/>
      <c r="BF1468" s="29"/>
      <c r="BG1468" s="29"/>
      <c r="BH1468" s="12"/>
      <c r="BI1468" s="12"/>
      <c r="BJ1468" s="12"/>
    </row>
    <row r="1469" spans="53:62" x14ac:dyDescent="0.25">
      <c r="BA1469" s="12"/>
      <c r="BB1469" s="30"/>
      <c r="BC1469" s="33"/>
      <c r="BD1469" s="33"/>
      <c r="BE1469" s="33"/>
      <c r="BF1469" s="29"/>
      <c r="BG1469" s="29"/>
      <c r="BH1469" s="12"/>
      <c r="BI1469" s="12"/>
      <c r="BJ1469" s="12"/>
    </row>
    <row r="1470" spans="53:62" x14ac:dyDescent="0.25">
      <c r="BA1470" s="12"/>
      <c r="BB1470" s="30"/>
      <c r="BC1470" s="33"/>
      <c r="BD1470" s="33"/>
      <c r="BE1470" s="33"/>
      <c r="BF1470" s="29"/>
      <c r="BG1470" s="29"/>
      <c r="BH1470" s="12"/>
      <c r="BI1470" s="12"/>
      <c r="BJ1470" s="12"/>
    </row>
    <row r="1471" spans="53:62" x14ac:dyDescent="0.25">
      <c r="BA1471" s="12"/>
      <c r="BB1471" s="30"/>
      <c r="BC1471" s="33"/>
      <c r="BD1471" s="33"/>
      <c r="BE1471" s="33"/>
      <c r="BF1471" s="29"/>
      <c r="BG1471" s="29"/>
      <c r="BH1471" s="12"/>
      <c r="BI1471" s="12"/>
      <c r="BJ1471" s="12"/>
    </row>
    <row r="1472" spans="53:62" x14ac:dyDescent="0.25">
      <c r="BA1472" s="12"/>
      <c r="BB1472" s="30"/>
      <c r="BC1472" s="33"/>
      <c r="BD1472" s="33"/>
      <c r="BE1472" s="33"/>
      <c r="BF1472" s="29"/>
      <c r="BG1472" s="29"/>
      <c r="BH1472" s="12"/>
      <c r="BI1472" s="12"/>
      <c r="BJ1472" s="12"/>
    </row>
    <row r="1473" spans="53:62" x14ac:dyDescent="0.25">
      <c r="BA1473" s="12"/>
      <c r="BB1473" s="30"/>
      <c r="BC1473" s="33"/>
      <c r="BD1473" s="33"/>
      <c r="BE1473" s="33"/>
      <c r="BF1473" s="29"/>
      <c r="BG1473" s="29"/>
      <c r="BH1473" s="12"/>
      <c r="BI1473" s="12"/>
      <c r="BJ1473" s="12"/>
    </row>
    <row r="1474" spans="53:62" x14ac:dyDescent="0.25">
      <c r="BA1474" s="12"/>
      <c r="BB1474" s="30"/>
      <c r="BC1474" s="33"/>
      <c r="BD1474" s="33"/>
      <c r="BE1474" s="33"/>
      <c r="BF1474" s="29"/>
      <c r="BG1474" s="29"/>
      <c r="BH1474" s="12"/>
      <c r="BI1474" s="12"/>
      <c r="BJ1474" s="12"/>
    </row>
    <row r="1475" spans="53:62" x14ac:dyDescent="0.25">
      <c r="BA1475" s="12"/>
      <c r="BB1475" s="30"/>
      <c r="BC1475" s="33"/>
      <c r="BD1475" s="33"/>
      <c r="BE1475" s="33"/>
      <c r="BF1475" s="29"/>
      <c r="BG1475" s="29"/>
      <c r="BH1475" s="12"/>
      <c r="BI1475" s="12"/>
      <c r="BJ1475" s="12"/>
    </row>
    <row r="1476" spans="53:62" x14ac:dyDescent="0.25">
      <c r="BA1476" s="12"/>
      <c r="BB1476" s="30"/>
      <c r="BC1476" s="33"/>
      <c r="BD1476" s="33"/>
      <c r="BE1476" s="33"/>
      <c r="BF1476" s="29"/>
      <c r="BG1476" s="29"/>
      <c r="BH1476" s="12"/>
      <c r="BI1476" s="12"/>
      <c r="BJ1476" s="12"/>
    </row>
    <row r="1477" spans="53:62" x14ac:dyDescent="0.25">
      <c r="BA1477" s="12"/>
      <c r="BB1477" s="30"/>
      <c r="BC1477" s="33"/>
      <c r="BD1477" s="33"/>
      <c r="BE1477" s="33"/>
      <c r="BF1477" s="29"/>
      <c r="BG1477" s="29"/>
      <c r="BH1477" s="12"/>
      <c r="BI1477" s="12"/>
      <c r="BJ1477" s="12"/>
    </row>
    <row r="1478" spans="53:62" x14ac:dyDescent="0.25">
      <c r="BA1478" s="12"/>
      <c r="BB1478" s="30"/>
      <c r="BC1478" s="33"/>
      <c r="BD1478" s="33"/>
      <c r="BE1478" s="33"/>
      <c r="BF1478" s="29"/>
      <c r="BG1478" s="29"/>
      <c r="BH1478" s="12"/>
      <c r="BI1478" s="12"/>
      <c r="BJ1478" s="12"/>
    </row>
    <row r="1479" spans="53:62" x14ac:dyDescent="0.25">
      <c r="BA1479" s="12"/>
      <c r="BB1479" s="30"/>
      <c r="BC1479" s="33"/>
      <c r="BD1479" s="33"/>
      <c r="BE1479" s="33"/>
      <c r="BF1479" s="29"/>
      <c r="BG1479" s="29"/>
      <c r="BH1479" s="12"/>
      <c r="BI1479" s="12"/>
      <c r="BJ1479" s="12"/>
    </row>
    <row r="1480" spans="53:62" x14ac:dyDescent="0.25">
      <c r="BA1480" s="12"/>
      <c r="BB1480" s="30"/>
      <c r="BC1480" s="33"/>
      <c r="BD1480" s="33"/>
      <c r="BE1480" s="33"/>
      <c r="BF1480" s="29"/>
      <c r="BG1480" s="29"/>
      <c r="BH1480" s="12"/>
      <c r="BI1480" s="12"/>
      <c r="BJ1480" s="12"/>
    </row>
    <row r="1481" spans="53:62" x14ac:dyDescent="0.25">
      <c r="BA1481" s="12"/>
      <c r="BB1481" s="30"/>
      <c r="BC1481" s="33"/>
      <c r="BD1481" s="33"/>
      <c r="BE1481" s="33"/>
      <c r="BF1481" s="29"/>
      <c r="BG1481" s="29"/>
      <c r="BH1481" s="12"/>
      <c r="BI1481" s="12"/>
      <c r="BJ1481" s="12"/>
    </row>
    <row r="1482" spans="53:62" x14ac:dyDescent="0.25">
      <c r="BA1482" s="12"/>
      <c r="BB1482" s="30"/>
      <c r="BC1482" s="33"/>
      <c r="BD1482" s="33"/>
      <c r="BE1482" s="33"/>
      <c r="BF1482" s="29"/>
      <c r="BG1482" s="29"/>
      <c r="BH1482" s="12"/>
      <c r="BI1482" s="12"/>
      <c r="BJ1482" s="12"/>
    </row>
    <row r="1483" spans="53:62" x14ac:dyDescent="0.25">
      <c r="BA1483" s="12"/>
      <c r="BB1483" s="30"/>
      <c r="BC1483" s="33"/>
      <c r="BD1483" s="33"/>
      <c r="BE1483" s="33"/>
      <c r="BF1483" s="29"/>
      <c r="BG1483" s="29"/>
      <c r="BH1483" s="12"/>
      <c r="BI1483" s="12"/>
      <c r="BJ1483" s="12"/>
    </row>
    <row r="1484" spans="53:62" x14ac:dyDescent="0.25">
      <c r="BA1484" s="12"/>
      <c r="BB1484" s="30"/>
      <c r="BC1484" s="33"/>
      <c r="BD1484" s="33"/>
      <c r="BE1484" s="33"/>
      <c r="BF1484" s="29"/>
      <c r="BG1484" s="29"/>
      <c r="BH1484" s="12"/>
      <c r="BI1484" s="12"/>
      <c r="BJ1484" s="12"/>
    </row>
    <row r="1485" spans="53:62" x14ac:dyDescent="0.25">
      <c r="BA1485" s="12"/>
      <c r="BB1485" s="30"/>
      <c r="BC1485" s="33"/>
      <c r="BD1485" s="33"/>
      <c r="BE1485" s="33"/>
      <c r="BF1485" s="29"/>
      <c r="BG1485" s="29"/>
      <c r="BH1485" s="12"/>
      <c r="BI1485" s="12"/>
      <c r="BJ1485" s="12"/>
    </row>
    <row r="1486" spans="53:62" x14ac:dyDescent="0.25">
      <c r="BA1486" s="12"/>
      <c r="BB1486" s="30"/>
      <c r="BC1486" s="33"/>
      <c r="BD1486" s="33"/>
      <c r="BE1486" s="33"/>
      <c r="BF1486" s="29"/>
      <c r="BG1486" s="29"/>
      <c r="BH1486" s="12"/>
      <c r="BI1486" s="12"/>
      <c r="BJ1486" s="12"/>
    </row>
    <row r="1487" spans="53:62" x14ac:dyDescent="0.25">
      <c r="BA1487" s="12"/>
      <c r="BB1487" s="30"/>
      <c r="BC1487" s="33"/>
      <c r="BD1487" s="33"/>
      <c r="BE1487" s="33"/>
      <c r="BF1487" s="29"/>
      <c r="BG1487" s="29"/>
      <c r="BH1487" s="12"/>
      <c r="BI1487" s="12"/>
      <c r="BJ1487" s="12"/>
    </row>
    <row r="1488" spans="53:62" x14ac:dyDescent="0.25">
      <c r="BA1488" s="12"/>
      <c r="BB1488" s="30"/>
      <c r="BC1488" s="33"/>
      <c r="BD1488" s="33"/>
      <c r="BE1488" s="33"/>
      <c r="BF1488" s="29"/>
      <c r="BG1488" s="29"/>
      <c r="BH1488" s="12"/>
      <c r="BI1488" s="12"/>
      <c r="BJ1488" s="12"/>
    </row>
    <row r="1489" spans="53:62" x14ac:dyDescent="0.25">
      <c r="BA1489" s="12"/>
      <c r="BB1489" s="30"/>
      <c r="BC1489" s="33"/>
      <c r="BD1489" s="33"/>
      <c r="BE1489" s="33"/>
      <c r="BF1489" s="29"/>
      <c r="BG1489" s="29"/>
      <c r="BH1489" s="12"/>
      <c r="BI1489" s="12"/>
      <c r="BJ1489" s="12"/>
    </row>
    <row r="1490" spans="53:62" x14ac:dyDescent="0.25">
      <c r="BA1490" s="12"/>
      <c r="BB1490" s="30"/>
      <c r="BC1490" s="33"/>
      <c r="BD1490" s="33"/>
      <c r="BE1490" s="33"/>
      <c r="BF1490" s="29"/>
      <c r="BG1490" s="29"/>
      <c r="BH1490" s="12"/>
      <c r="BI1490" s="12"/>
      <c r="BJ1490" s="12"/>
    </row>
    <row r="1491" spans="53:62" x14ac:dyDescent="0.25">
      <c r="BA1491" s="12"/>
      <c r="BB1491" s="30"/>
      <c r="BC1491" s="33"/>
      <c r="BD1491" s="33"/>
      <c r="BE1491" s="33"/>
      <c r="BF1491" s="29"/>
      <c r="BG1491" s="29"/>
      <c r="BH1491" s="12"/>
      <c r="BI1491" s="12"/>
      <c r="BJ1491" s="12"/>
    </row>
    <row r="1492" spans="53:62" x14ac:dyDescent="0.25">
      <c r="BA1492" s="12"/>
      <c r="BB1492" s="30"/>
      <c r="BC1492" s="33"/>
      <c r="BD1492" s="33"/>
      <c r="BE1492" s="33"/>
      <c r="BF1492" s="29"/>
      <c r="BG1492" s="29"/>
      <c r="BH1492" s="12"/>
      <c r="BI1492" s="12"/>
      <c r="BJ1492" s="12"/>
    </row>
    <row r="1493" spans="53:62" x14ac:dyDescent="0.25">
      <c r="BA1493" s="12"/>
      <c r="BB1493" s="30"/>
      <c r="BC1493" s="33"/>
      <c r="BD1493" s="33"/>
      <c r="BE1493" s="33"/>
      <c r="BF1493" s="29"/>
      <c r="BG1493" s="29"/>
      <c r="BH1493" s="12"/>
      <c r="BI1493" s="12"/>
      <c r="BJ1493" s="12"/>
    </row>
    <row r="1494" spans="53:62" x14ac:dyDescent="0.25">
      <c r="BA1494" s="12"/>
      <c r="BB1494" s="30"/>
      <c r="BC1494" s="33"/>
      <c r="BD1494" s="33"/>
      <c r="BE1494" s="33"/>
      <c r="BF1494" s="29"/>
      <c r="BG1494" s="29"/>
      <c r="BH1494" s="12"/>
      <c r="BI1494" s="12"/>
      <c r="BJ1494" s="12"/>
    </row>
    <row r="1495" spans="53:62" x14ac:dyDescent="0.25">
      <c r="BA1495" s="12"/>
      <c r="BB1495" s="30"/>
      <c r="BC1495" s="33"/>
      <c r="BD1495" s="33"/>
      <c r="BE1495" s="33"/>
      <c r="BF1495" s="29"/>
      <c r="BG1495" s="29"/>
      <c r="BH1495" s="12"/>
      <c r="BI1495" s="12"/>
      <c r="BJ1495" s="12"/>
    </row>
    <row r="1496" spans="53:62" x14ac:dyDescent="0.25">
      <c r="BA1496" s="12"/>
      <c r="BB1496" s="30"/>
      <c r="BC1496" s="33"/>
      <c r="BD1496" s="33"/>
      <c r="BE1496" s="33"/>
      <c r="BF1496" s="29"/>
      <c r="BG1496" s="29"/>
      <c r="BH1496" s="12"/>
      <c r="BI1496" s="12"/>
      <c r="BJ1496" s="12"/>
    </row>
    <row r="1497" spans="53:62" x14ac:dyDescent="0.25">
      <c r="BA1497" s="12"/>
      <c r="BB1497" s="30"/>
      <c r="BC1497" s="33"/>
      <c r="BD1497" s="33"/>
      <c r="BE1497" s="33"/>
      <c r="BF1497" s="29"/>
      <c r="BG1497" s="29"/>
      <c r="BH1497" s="12"/>
      <c r="BI1497" s="12"/>
      <c r="BJ1497" s="12"/>
    </row>
    <row r="1498" spans="53:62" x14ac:dyDescent="0.25">
      <c r="BA1498" s="12"/>
      <c r="BB1498" s="30"/>
      <c r="BC1498" s="33"/>
      <c r="BD1498" s="33"/>
      <c r="BE1498" s="33"/>
      <c r="BF1498" s="29"/>
      <c r="BG1498" s="29"/>
      <c r="BH1498" s="12"/>
      <c r="BI1498" s="12"/>
      <c r="BJ1498" s="12"/>
    </row>
    <row r="1499" spans="53:62" x14ac:dyDescent="0.25">
      <c r="BA1499" s="12"/>
      <c r="BB1499" s="30"/>
      <c r="BC1499" s="33"/>
      <c r="BD1499" s="33"/>
      <c r="BE1499" s="33"/>
      <c r="BF1499" s="29"/>
      <c r="BG1499" s="29"/>
      <c r="BH1499" s="12"/>
      <c r="BI1499" s="12"/>
      <c r="BJ1499" s="12"/>
    </row>
    <row r="1500" spans="53:62" x14ac:dyDescent="0.25">
      <c r="BA1500" s="12"/>
      <c r="BB1500" s="30"/>
      <c r="BC1500" s="33"/>
      <c r="BD1500" s="33"/>
      <c r="BE1500" s="33"/>
      <c r="BF1500" s="29"/>
      <c r="BG1500" s="29"/>
      <c r="BH1500" s="12"/>
      <c r="BI1500" s="12"/>
      <c r="BJ1500" s="12"/>
    </row>
    <row r="1501" spans="53:62" x14ac:dyDescent="0.25">
      <c r="BA1501" s="12"/>
      <c r="BB1501" s="30"/>
      <c r="BC1501" s="33"/>
      <c r="BD1501" s="33"/>
      <c r="BE1501" s="33"/>
      <c r="BF1501" s="29"/>
      <c r="BG1501" s="29"/>
      <c r="BH1501" s="12"/>
      <c r="BI1501" s="12"/>
      <c r="BJ1501" s="12"/>
    </row>
    <row r="1502" spans="53:62" x14ac:dyDescent="0.25">
      <c r="BA1502" s="12"/>
      <c r="BB1502" s="30"/>
      <c r="BC1502" s="33"/>
      <c r="BD1502" s="33"/>
      <c r="BE1502" s="33"/>
      <c r="BF1502" s="29"/>
      <c r="BG1502" s="29"/>
      <c r="BH1502" s="12"/>
      <c r="BI1502" s="12"/>
      <c r="BJ1502" s="12"/>
    </row>
    <row r="1503" spans="53:62" x14ac:dyDescent="0.25">
      <c r="BA1503" s="12"/>
      <c r="BB1503" s="30"/>
      <c r="BC1503" s="33"/>
      <c r="BD1503" s="33"/>
      <c r="BE1503" s="33"/>
      <c r="BF1503" s="29"/>
      <c r="BG1503" s="29"/>
      <c r="BH1503" s="12"/>
      <c r="BI1503" s="12"/>
      <c r="BJ1503" s="12"/>
    </row>
    <row r="1504" spans="53:62" x14ac:dyDescent="0.25">
      <c r="BA1504" s="12"/>
      <c r="BB1504" s="30"/>
      <c r="BC1504" s="33"/>
      <c r="BD1504" s="33"/>
      <c r="BE1504" s="33"/>
      <c r="BF1504" s="29"/>
      <c r="BG1504" s="29"/>
      <c r="BH1504" s="12"/>
      <c r="BI1504" s="12"/>
      <c r="BJ1504" s="12"/>
    </row>
    <row r="1505" spans="53:62" x14ac:dyDescent="0.25">
      <c r="BA1505" s="12"/>
      <c r="BB1505" s="30"/>
      <c r="BC1505" s="33"/>
      <c r="BD1505" s="33"/>
      <c r="BE1505" s="33"/>
      <c r="BF1505" s="29"/>
      <c r="BG1505" s="29"/>
      <c r="BH1505" s="12"/>
      <c r="BI1505" s="12"/>
      <c r="BJ1505" s="12"/>
    </row>
    <row r="1506" spans="53:62" x14ac:dyDescent="0.25">
      <c r="BA1506" s="12"/>
      <c r="BB1506" s="30"/>
      <c r="BC1506" s="33"/>
      <c r="BD1506" s="33"/>
      <c r="BE1506" s="33"/>
      <c r="BF1506" s="29"/>
      <c r="BG1506" s="29"/>
      <c r="BH1506" s="12"/>
      <c r="BI1506" s="12"/>
      <c r="BJ1506" s="12"/>
    </row>
    <row r="1507" spans="53:62" x14ac:dyDescent="0.25">
      <c r="BA1507" s="12"/>
      <c r="BB1507" s="30"/>
      <c r="BC1507" s="33"/>
      <c r="BD1507" s="33"/>
      <c r="BE1507" s="33"/>
      <c r="BF1507" s="29"/>
      <c r="BG1507" s="29"/>
      <c r="BH1507" s="12"/>
      <c r="BI1507" s="12"/>
      <c r="BJ1507" s="12"/>
    </row>
    <row r="1508" spans="53:62" x14ac:dyDescent="0.25">
      <c r="BA1508" s="12"/>
      <c r="BB1508" s="30"/>
      <c r="BC1508" s="33"/>
      <c r="BD1508" s="33"/>
      <c r="BE1508" s="33"/>
      <c r="BF1508" s="29"/>
      <c r="BG1508" s="29"/>
      <c r="BH1508" s="12"/>
      <c r="BI1508" s="12"/>
      <c r="BJ1508" s="12"/>
    </row>
    <row r="1509" spans="53:62" x14ac:dyDescent="0.25">
      <c r="BA1509" s="12"/>
      <c r="BB1509" s="30"/>
      <c r="BC1509" s="33"/>
      <c r="BD1509" s="33"/>
      <c r="BE1509" s="33"/>
      <c r="BF1509" s="29"/>
      <c r="BG1509" s="29"/>
      <c r="BH1509" s="12"/>
      <c r="BI1509" s="12"/>
      <c r="BJ1509" s="12"/>
    </row>
    <row r="1510" spans="53:62" x14ac:dyDescent="0.25">
      <c r="BA1510" s="12"/>
      <c r="BB1510" s="30"/>
      <c r="BC1510" s="33"/>
      <c r="BD1510" s="33"/>
      <c r="BE1510" s="33"/>
      <c r="BF1510" s="29"/>
      <c r="BG1510" s="29"/>
      <c r="BH1510" s="12"/>
      <c r="BI1510" s="12"/>
      <c r="BJ1510" s="12"/>
    </row>
    <row r="1511" spans="53:62" x14ac:dyDescent="0.25">
      <c r="BA1511" s="12"/>
      <c r="BB1511" s="30"/>
      <c r="BC1511" s="33"/>
      <c r="BD1511" s="33"/>
      <c r="BE1511" s="33"/>
      <c r="BF1511" s="29"/>
      <c r="BG1511" s="29"/>
      <c r="BH1511" s="12"/>
      <c r="BI1511" s="12"/>
      <c r="BJ1511" s="12"/>
    </row>
    <row r="1512" spans="53:62" x14ac:dyDescent="0.25">
      <c r="BA1512" s="12"/>
      <c r="BB1512" s="30"/>
      <c r="BC1512" s="33"/>
      <c r="BD1512" s="33"/>
      <c r="BE1512" s="33"/>
      <c r="BF1512" s="29"/>
      <c r="BG1512" s="29"/>
      <c r="BH1512" s="12"/>
      <c r="BI1512" s="12"/>
      <c r="BJ1512" s="12"/>
    </row>
    <row r="1513" spans="53:62" x14ac:dyDescent="0.25">
      <c r="BA1513" s="12"/>
      <c r="BB1513" s="30"/>
      <c r="BC1513" s="33"/>
      <c r="BD1513" s="33"/>
      <c r="BE1513" s="33"/>
      <c r="BF1513" s="29"/>
      <c r="BG1513" s="29"/>
      <c r="BH1513" s="12"/>
      <c r="BI1513" s="12"/>
      <c r="BJ1513" s="12"/>
    </row>
    <row r="1514" spans="53:62" x14ac:dyDescent="0.25">
      <c r="BA1514" s="12"/>
      <c r="BB1514" s="30"/>
      <c r="BC1514" s="33"/>
      <c r="BD1514" s="33"/>
      <c r="BE1514" s="33"/>
      <c r="BF1514" s="29"/>
      <c r="BG1514" s="29"/>
      <c r="BH1514" s="12"/>
      <c r="BI1514" s="12"/>
      <c r="BJ1514" s="12"/>
    </row>
    <row r="1515" spans="53:62" x14ac:dyDescent="0.25">
      <c r="BA1515" s="12"/>
      <c r="BB1515" s="30"/>
      <c r="BC1515" s="33"/>
      <c r="BD1515" s="33"/>
      <c r="BE1515" s="33"/>
      <c r="BF1515" s="29"/>
      <c r="BG1515" s="29"/>
      <c r="BH1515" s="12"/>
      <c r="BI1515" s="12"/>
      <c r="BJ1515" s="12"/>
    </row>
    <row r="1516" spans="53:62" x14ac:dyDescent="0.25">
      <c r="BA1516" s="12"/>
      <c r="BB1516" s="30"/>
      <c r="BC1516" s="33"/>
      <c r="BD1516" s="33"/>
      <c r="BE1516" s="33"/>
      <c r="BF1516" s="29"/>
      <c r="BG1516" s="29"/>
      <c r="BH1516" s="12"/>
      <c r="BI1516" s="12"/>
      <c r="BJ1516" s="12"/>
    </row>
    <row r="1517" spans="53:62" x14ac:dyDescent="0.25">
      <c r="BA1517" s="12"/>
      <c r="BB1517" s="30"/>
      <c r="BC1517" s="33"/>
      <c r="BD1517" s="33"/>
      <c r="BE1517" s="33"/>
      <c r="BF1517" s="29"/>
      <c r="BG1517" s="29"/>
      <c r="BH1517" s="12"/>
      <c r="BI1517" s="12"/>
      <c r="BJ1517" s="12"/>
    </row>
    <row r="1518" spans="53:62" x14ac:dyDescent="0.25">
      <c r="BA1518" s="12"/>
      <c r="BB1518" s="30"/>
      <c r="BC1518" s="33"/>
      <c r="BD1518" s="33"/>
      <c r="BE1518" s="33"/>
      <c r="BF1518" s="29"/>
      <c r="BG1518" s="29"/>
      <c r="BH1518" s="12"/>
      <c r="BI1518" s="12"/>
      <c r="BJ1518" s="12"/>
    </row>
    <row r="1519" spans="53:62" x14ac:dyDescent="0.25">
      <c r="BA1519" s="12"/>
      <c r="BB1519" s="30"/>
      <c r="BC1519" s="33"/>
      <c r="BD1519" s="33"/>
      <c r="BE1519" s="33"/>
      <c r="BF1519" s="29"/>
      <c r="BG1519" s="29"/>
      <c r="BH1519" s="12"/>
      <c r="BI1519" s="12"/>
      <c r="BJ1519" s="12"/>
    </row>
    <row r="1520" spans="53:62" x14ac:dyDescent="0.25">
      <c r="BA1520" s="12"/>
      <c r="BB1520" s="30"/>
      <c r="BC1520" s="33"/>
      <c r="BD1520" s="33"/>
      <c r="BE1520" s="33"/>
      <c r="BF1520" s="29"/>
      <c r="BG1520" s="29"/>
      <c r="BH1520" s="12"/>
      <c r="BI1520" s="12"/>
      <c r="BJ1520" s="12"/>
    </row>
    <row r="1521" spans="53:62" x14ac:dyDescent="0.25">
      <c r="BA1521" s="12"/>
      <c r="BB1521" s="30"/>
      <c r="BC1521" s="33"/>
      <c r="BD1521" s="33"/>
      <c r="BE1521" s="33"/>
      <c r="BF1521" s="29"/>
      <c r="BG1521" s="29"/>
      <c r="BH1521" s="12"/>
      <c r="BI1521" s="12"/>
      <c r="BJ1521" s="12"/>
    </row>
    <row r="1522" spans="53:62" x14ac:dyDescent="0.25">
      <c r="BA1522" s="12"/>
      <c r="BB1522" s="30"/>
      <c r="BC1522" s="33"/>
      <c r="BD1522" s="33"/>
      <c r="BE1522" s="33"/>
      <c r="BF1522" s="29"/>
      <c r="BG1522" s="29"/>
      <c r="BH1522" s="12"/>
      <c r="BI1522" s="12"/>
      <c r="BJ1522" s="12"/>
    </row>
    <row r="1523" spans="53:62" x14ac:dyDescent="0.25">
      <c r="BA1523" s="12"/>
      <c r="BB1523" s="30"/>
      <c r="BC1523" s="33"/>
      <c r="BD1523" s="33"/>
      <c r="BE1523" s="33"/>
      <c r="BF1523" s="29"/>
      <c r="BG1523" s="29"/>
      <c r="BH1523" s="12"/>
      <c r="BI1523" s="12"/>
      <c r="BJ1523" s="12"/>
    </row>
    <row r="1524" spans="53:62" x14ac:dyDescent="0.25">
      <c r="BA1524" s="12"/>
      <c r="BB1524" s="30"/>
      <c r="BC1524" s="33"/>
      <c r="BD1524" s="33"/>
      <c r="BE1524" s="33"/>
      <c r="BF1524" s="29"/>
      <c r="BG1524" s="29"/>
      <c r="BH1524" s="12"/>
      <c r="BI1524" s="12"/>
      <c r="BJ1524" s="12"/>
    </row>
    <row r="1525" spans="53:62" x14ac:dyDescent="0.25">
      <c r="BA1525" s="12"/>
      <c r="BB1525" s="30"/>
      <c r="BC1525" s="33"/>
      <c r="BD1525" s="33"/>
      <c r="BE1525" s="33"/>
      <c r="BF1525" s="29"/>
      <c r="BG1525" s="29"/>
      <c r="BH1525" s="12"/>
      <c r="BI1525" s="12"/>
      <c r="BJ1525" s="12"/>
    </row>
    <row r="1526" spans="53:62" x14ac:dyDescent="0.25">
      <c r="BA1526" s="12"/>
      <c r="BB1526" s="30"/>
      <c r="BC1526" s="33"/>
      <c r="BD1526" s="33"/>
      <c r="BE1526" s="33"/>
      <c r="BF1526" s="29"/>
      <c r="BG1526" s="29"/>
      <c r="BH1526" s="12"/>
      <c r="BI1526" s="12"/>
      <c r="BJ1526" s="12"/>
    </row>
    <row r="1527" spans="53:62" x14ac:dyDescent="0.25">
      <c r="BA1527" s="12"/>
      <c r="BB1527" s="30"/>
      <c r="BC1527" s="33"/>
      <c r="BD1527" s="33"/>
      <c r="BE1527" s="33"/>
      <c r="BF1527" s="29"/>
      <c r="BG1527" s="29"/>
      <c r="BH1527" s="12"/>
      <c r="BI1527" s="12"/>
      <c r="BJ1527" s="12"/>
    </row>
    <row r="1528" spans="53:62" x14ac:dyDescent="0.25">
      <c r="BA1528" s="12"/>
      <c r="BB1528" s="30"/>
      <c r="BC1528" s="33"/>
      <c r="BD1528" s="33"/>
      <c r="BE1528" s="33"/>
      <c r="BF1528" s="29"/>
      <c r="BG1528" s="29"/>
      <c r="BH1528" s="12"/>
      <c r="BI1528" s="12"/>
      <c r="BJ1528" s="12"/>
    </row>
    <row r="1529" spans="53:62" x14ac:dyDescent="0.25">
      <c r="BA1529" s="12"/>
      <c r="BB1529" s="30"/>
      <c r="BC1529" s="33"/>
      <c r="BD1529" s="33"/>
      <c r="BE1529" s="33"/>
      <c r="BF1529" s="29"/>
      <c r="BG1529" s="29"/>
      <c r="BH1529" s="12"/>
      <c r="BI1529" s="12"/>
      <c r="BJ1529" s="12"/>
    </row>
    <row r="1530" spans="53:62" x14ac:dyDescent="0.25">
      <c r="BA1530" s="12"/>
      <c r="BB1530" s="30"/>
      <c r="BC1530" s="33"/>
      <c r="BD1530" s="33"/>
      <c r="BE1530" s="33"/>
      <c r="BF1530" s="29"/>
      <c r="BG1530" s="29"/>
      <c r="BH1530" s="12"/>
      <c r="BI1530" s="12"/>
      <c r="BJ1530" s="12"/>
    </row>
    <row r="1531" spans="53:62" x14ac:dyDescent="0.25">
      <c r="BA1531" s="12"/>
      <c r="BB1531" s="30"/>
      <c r="BC1531" s="33"/>
      <c r="BD1531" s="33"/>
      <c r="BE1531" s="33"/>
      <c r="BF1531" s="29"/>
      <c r="BG1531" s="29"/>
      <c r="BH1531" s="12"/>
      <c r="BI1531" s="12"/>
      <c r="BJ1531" s="12"/>
    </row>
    <row r="1532" spans="53:62" x14ac:dyDescent="0.25">
      <c r="BA1532" s="12"/>
      <c r="BB1532" s="30"/>
      <c r="BC1532" s="33"/>
      <c r="BD1532" s="33"/>
      <c r="BE1532" s="33"/>
      <c r="BF1532" s="29"/>
      <c r="BG1532" s="29"/>
      <c r="BH1532" s="12"/>
      <c r="BI1532" s="12"/>
      <c r="BJ1532" s="12"/>
    </row>
    <row r="1533" spans="53:62" x14ac:dyDescent="0.25">
      <c r="BA1533" s="12"/>
      <c r="BB1533" s="30"/>
      <c r="BC1533" s="33"/>
      <c r="BD1533" s="33"/>
      <c r="BE1533" s="33"/>
      <c r="BF1533" s="29"/>
      <c r="BG1533" s="29"/>
      <c r="BH1533" s="12"/>
      <c r="BI1533" s="12"/>
      <c r="BJ1533" s="12"/>
    </row>
    <row r="1534" spans="53:62" x14ac:dyDescent="0.25">
      <c r="BA1534" s="12"/>
      <c r="BB1534" s="30"/>
      <c r="BC1534" s="33"/>
      <c r="BD1534" s="33"/>
      <c r="BE1534" s="33"/>
      <c r="BF1534" s="29"/>
      <c r="BG1534" s="29"/>
      <c r="BH1534" s="12"/>
      <c r="BI1534" s="12"/>
      <c r="BJ1534" s="12"/>
    </row>
    <row r="1535" spans="53:62" x14ac:dyDescent="0.25">
      <c r="BA1535" s="12"/>
      <c r="BB1535" s="30"/>
      <c r="BC1535" s="33"/>
      <c r="BD1535" s="33"/>
      <c r="BE1535" s="33"/>
      <c r="BF1535" s="29"/>
      <c r="BG1535" s="29"/>
      <c r="BH1535" s="12"/>
      <c r="BI1535" s="12"/>
      <c r="BJ1535" s="12"/>
    </row>
    <row r="1536" spans="53:62" x14ac:dyDescent="0.25">
      <c r="BA1536" s="12"/>
      <c r="BB1536" s="30"/>
      <c r="BC1536" s="33"/>
      <c r="BD1536" s="33"/>
      <c r="BE1536" s="33"/>
      <c r="BF1536" s="29"/>
      <c r="BG1536" s="29"/>
      <c r="BH1536" s="12"/>
      <c r="BI1536" s="12"/>
      <c r="BJ1536" s="12"/>
    </row>
    <row r="1537" spans="53:62" x14ac:dyDescent="0.25">
      <c r="BA1537" s="12"/>
      <c r="BB1537" s="30"/>
      <c r="BC1537" s="33"/>
      <c r="BD1537" s="33"/>
      <c r="BE1537" s="33"/>
      <c r="BF1537" s="29"/>
      <c r="BG1537" s="29"/>
      <c r="BH1537" s="12"/>
      <c r="BI1537" s="12"/>
      <c r="BJ1537" s="12"/>
    </row>
    <row r="1538" spans="53:62" x14ac:dyDescent="0.25">
      <c r="BA1538" s="12"/>
      <c r="BB1538" s="30"/>
      <c r="BC1538" s="33"/>
      <c r="BD1538" s="33"/>
      <c r="BE1538" s="33"/>
      <c r="BF1538" s="29"/>
      <c r="BG1538" s="29"/>
      <c r="BH1538" s="12"/>
      <c r="BI1538" s="12"/>
      <c r="BJ1538" s="12"/>
    </row>
    <row r="1539" spans="53:62" x14ac:dyDescent="0.25">
      <c r="BA1539" s="12"/>
      <c r="BB1539" s="30"/>
      <c r="BC1539" s="33"/>
      <c r="BD1539" s="33"/>
      <c r="BE1539" s="33"/>
      <c r="BF1539" s="29"/>
      <c r="BG1539" s="29"/>
      <c r="BH1539" s="12"/>
      <c r="BI1539" s="12"/>
      <c r="BJ1539" s="12"/>
    </row>
    <row r="1540" spans="53:62" x14ac:dyDescent="0.25">
      <c r="BA1540" s="12"/>
      <c r="BB1540" s="30"/>
      <c r="BC1540" s="33"/>
      <c r="BD1540" s="33"/>
      <c r="BE1540" s="33"/>
      <c r="BF1540" s="29"/>
      <c r="BG1540" s="29"/>
      <c r="BH1540" s="12"/>
      <c r="BI1540" s="12"/>
      <c r="BJ1540" s="12"/>
    </row>
    <row r="1541" spans="53:62" x14ac:dyDescent="0.25">
      <c r="BA1541" s="12"/>
      <c r="BB1541" s="30"/>
      <c r="BC1541" s="33"/>
      <c r="BD1541" s="33"/>
      <c r="BE1541" s="33"/>
      <c r="BF1541" s="29"/>
      <c r="BG1541" s="29"/>
      <c r="BH1541" s="12"/>
      <c r="BI1541" s="12"/>
      <c r="BJ1541" s="12"/>
    </row>
    <row r="1542" spans="53:62" x14ac:dyDescent="0.25">
      <c r="BA1542" s="12"/>
      <c r="BB1542" s="30"/>
      <c r="BC1542" s="33"/>
      <c r="BD1542" s="33"/>
      <c r="BE1542" s="33"/>
      <c r="BF1542" s="29"/>
      <c r="BG1542" s="29"/>
      <c r="BH1542" s="12"/>
      <c r="BI1542" s="12"/>
      <c r="BJ1542" s="12"/>
    </row>
    <row r="1543" spans="53:62" x14ac:dyDescent="0.25">
      <c r="BA1543" s="12"/>
      <c r="BB1543" s="30"/>
      <c r="BC1543" s="33"/>
      <c r="BD1543" s="33"/>
      <c r="BE1543" s="33"/>
      <c r="BF1543" s="29"/>
      <c r="BG1543" s="29"/>
      <c r="BH1543" s="12"/>
      <c r="BI1543" s="12"/>
      <c r="BJ1543" s="12"/>
    </row>
    <row r="1544" spans="53:62" x14ac:dyDescent="0.25">
      <c r="BA1544" s="12"/>
      <c r="BB1544" s="30"/>
      <c r="BC1544" s="33"/>
      <c r="BD1544" s="33"/>
      <c r="BE1544" s="33"/>
      <c r="BF1544" s="29"/>
      <c r="BG1544" s="29"/>
      <c r="BH1544" s="12"/>
      <c r="BI1544" s="12"/>
      <c r="BJ1544" s="12"/>
    </row>
    <row r="1545" spans="53:62" x14ac:dyDescent="0.25">
      <c r="BA1545" s="12"/>
      <c r="BB1545" s="30"/>
      <c r="BC1545" s="33"/>
      <c r="BD1545" s="33"/>
      <c r="BE1545" s="33"/>
      <c r="BF1545" s="29"/>
      <c r="BG1545" s="29"/>
      <c r="BH1545" s="12"/>
      <c r="BI1545" s="12"/>
      <c r="BJ1545" s="12"/>
    </row>
    <row r="1546" spans="53:62" x14ac:dyDescent="0.25">
      <c r="BA1546" s="12"/>
      <c r="BB1546" s="30"/>
      <c r="BC1546" s="33"/>
      <c r="BD1546" s="33"/>
      <c r="BE1546" s="33"/>
      <c r="BF1546" s="29"/>
      <c r="BG1546" s="29"/>
      <c r="BH1546" s="12"/>
      <c r="BI1546" s="12"/>
      <c r="BJ1546" s="12"/>
    </row>
    <row r="1547" spans="53:62" x14ac:dyDescent="0.25">
      <c r="BA1547" s="12"/>
      <c r="BB1547" s="30"/>
      <c r="BC1547" s="33"/>
      <c r="BD1547" s="33"/>
      <c r="BE1547" s="33"/>
      <c r="BF1547" s="29"/>
      <c r="BG1547" s="29"/>
      <c r="BH1547" s="12"/>
      <c r="BI1547" s="12"/>
      <c r="BJ1547" s="12"/>
    </row>
    <row r="1548" spans="53:62" x14ac:dyDescent="0.25">
      <c r="BA1548" s="12"/>
      <c r="BB1548" s="30"/>
      <c r="BC1548" s="33"/>
      <c r="BD1548" s="33"/>
      <c r="BE1548" s="33"/>
      <c r="BF1548" s="29"/>
      <c r="BG1548" s="29"/>
      <c r="BH1548" s="12"/>
      <c r="BI1548" s="12"/>
      <c r="BJ1548" s="12"/>
    </row>
    <row r="1549" spans="53:62" x14ac:dyDescent="0.25">
      <c r="BA1549" s="12"/>
      <c r="BB1549" s="30"/>
      <c r="BC1549" s="33"/>
      <c r="BD1549" s="33"/>
      <c r="BE1549" s="33"/>
      <c r="BF1549" s="29"/>
      <c r="BG1549" s="29"/>
      <c r="BH1549" s="12"/>
      <c r="BI1549" s="12"/>
      <c r="BJ1549" s="12"/>
    </row>
    <row r="1550" spans="53:62" x14ac:dyDescent="0.25">
      <c r="BA1550" s="12"/>
      <c r="BB1550" s="30"/>
      <c r="BC1550" s="33"/>
      <c r="BD1550" s="33"/>
      <c r="BE1550" s="33"/>
      <c r="BF1550" s="29"/>
      <c r="BG1550" s="29"/>
      <c r="BH1550" s="12"/>
      <c r="BI1550" s="12"/>
      <c r="BJ1550" s="12"/>
    </row>
    <row r="1551" spans="53:62" x14ac:dyDescent="0.25">
      <c r="BA1551" s="12"/>
      <c r="BB1551" s="30"/>
      <c r="BC1551" s="33"/>
      <c r="BD1551" s="33"/>
      <c r="BE1551" s="33"/>
      <c r="BF1551" s="29"/>
      <c r="BG1551" s="29"/>
      <c r="BH1551" s="12"/>
      <c r="BI1551" s="12"/>
      <c r="BJ1551" s="12"/>
    </row>
    <row r="1552" spans="53:62" x14ac:dyDescent="0.25">
      <c r="BA1552" s="12"/>
      <c r="BB1552" s="30"/>
      <c r="BC1552" s="33"/>
      <c r="BD1552" s="33"/>
      <c r="BE1552" s="33"/>
      <c r="BF1552" s="29"/>
      <c r="BG1552" s="29"/>
      <c r="BH1552" s="12"/>
      <c r="BI1552" s="12"/>
      <c r="BJ1552" s="12"/>
    </row>
    <row r="1553" spans="53:62" x14ac:dyDescent="0.25">
      <c r="BA1553" s="12"/>
      <c r="BB1553" s="30"/>
      <c r="BC1553" s="33"/>
      <c r="BD1553" s="33"/>
      <c r="BE1553" s="33"/>
      <c r="BF1553" s="29"/>
      <c r="BG1553" s="29"/>
      <c r="BH1553" s="12"/>
      <c r="BI1553" s="12"/>
      <c r="BJ1553" s="12"/>
    </row>
    <row r="1554" spans="53:62" x14ac:dyDescent="0.25">
      <c r="BA1554" s="12"/>
      <c r="BB1554" s="30"/>
      <c r="BC1554" s="33"/>
      <c r="BD1554" s="33"/>
      <c r="BE1554" s="33"/>
      <c r="BF1554" s="29"/>
      <c r="BG1554" s="29"/>
      <c r="BH1554" s="12"/>
      <c r="BI1554" s="12"/>
      <c r="BJ1554" s="12"/>
    </row>
    <row r="1555" spans="53:62" x14ac:dyDescent="0.25">
      <c r="BA1555" s="12"/>
      <c r="BB1555" s="30"/>
      <c r="BC1555" s="33"/>
      <c r="BD1555" s="33"/>
      <c r="BE1555" s="33"/>
      <c r="BF1555" s="29"/>
      <c r="BG1555" s="29"/>
      <c r="BH1555" s="12"/>
      <c r="BI1555" s="12"/>
      <c r="BJ1555" s="12"/>
    </row>
    <row r="1556" spans="53:62" x14ac:dyDescent="0.25">
      <c r="BA1556" s="12"/>
      <c r="BB1556" s="30"/>
      <c r="BC1556" s="33"/>
      <c r="BD1556" s="33"/>
      <c r="BE1556" s="33"/>
      <c r="BF1556" s="29"/>
      <c r="BG1556" s="29"/>
      <c r="BH1556" s="12"/>
      <c r="BI1556" s="12"/>
      <c r="BJ1556" s="12"/>
    </row>
    <row r="1557" spans="53:62" x14ac:dyDescent="0.25">
      <c r="BA1557" s="12"/>
      <c r="BB1557" s="30"/>
      <c r="BC1557" s="33"/>
      <c r="BD1557" s="33"/>
      <c r="BE1557" s="33"/>
      <c r="BF1557" s="29"/>
      <c r="BG1557" s="29"/>
      <c r="BH1557" s="12"/>
      <c r="BI1557" s="12"/>
      <c r="BJ1557" s="12"/>
    </row>
    <row r="1558" spans="53:62" x14ac:dyDescent="0.25">
      <c r="BA1558" s="12"/>
      <c r="BB1558" s="30"/>
      <c r="BC1558" s="33"/>
      <c r="BD1558" s="33"/>
      <c r="BE1558" s="33"/>
      <c r="BF1558" s="29"/>
      <c r="BG1558" s="29"/>
      <c r="BH1558" s="12"/>
      <c r="BI1558" s="12"/>
      <c r="BJ1558" s="12"/>
    </row>
    <row r="1559" spans="53:62" x14ac:dyDescent="0.25">
      <c r="BA1559" s="12"/>
      <c r="BB1559" s="30"/>
      <c r="BC1559" s="33"/>
      <c r="BD1559" s="33"/>
      <c r="BE1559" s="33"/>
      <c r="BF1559" s="29"/>
      <c r="BG1559" s="29"/>
      <c r="BH1559" s="12"/>
      <c r="BI1559" s="12"/>
      <c r="BJ1559" s="12"/>
    </row>
    <row r="1560" spans="53:62" x14ac:dyDescent="0.25">
      <c r="BA1560" s="12"/>
      <c r="BB1560" s="30"/>
      <c r="BC1560" s="33"/>
      <c r="BD1560" s="33"/>
      <c r="BE1560" s="33"/>
      <c r="BF1560" s="29"/>
      <c r="BG1560" s="29"/>
      <c r="BH1560" s="12"/>
      <c r="BI1560" s="12"/>
      <c r="BJ1560" s="12"/>
    </row>
    <row r="1561" spans="53:62" x14ac:dyDescent="0.25">
      <c r="BA1561" s="12"/>
      <c r="BB1561" s="30"/>
      <c r="BC1561" s="33"/>
      <c r="BD1561" s="33"/>
      <c r="BE1561" s="33"/>
      <c r="BF1561" s="29"/>
      <c r="BG1561" s="29"/>
      <c r="BH1561" s="12"/>
      <c r="BI1561" s="12"/>
      <c r="BJ1561" s="12"/>
    </row>
    <row r="1562" spans="53:62" x14ac:dyDescent="0.25">
      <c r="BA1562" s="12"/>
      <c r="BB1562" s="30"/>
      <c r="BC1562" s="33"/>
      <c r="BD1562" s="33"/>
      <c r="BE1562" s="33"/>
      <c r="BF1562" s="29"/>
      <c r="BG1562" s="29"/>
      <c r="BH1562" s="12"/>
      <c r="BI1562" s="12"/>
      <c r="BJ1562" s="12"/>
    </row>
    <row r="1563" spans="53:62" x14ac:dyDescent="0.25">
      <c r="BA1563" s="12"/>
      <c r="BB1563" s="30"/>
      <c r="BC1563" s="33"/>
      <c r="BD1563" s="33"/>
      <c r="BE1563" s="33"/>
      <c r="BF1563" s="29"/>
      <c r="BG1563" s="29"/>
      <c r="BH1563" s="12"/>
      <c r="BI1563" s="12"/>
      <c r="BJ1563" s="12"/>
    </row>
    <row r="1564" spans="53:62" x14ac:dyDescent="0.25">
      <c r="BA1564" s="12"/>
      <c r="BB1564" s="30"/>
      <c r="BC1564" s="33"/>
      <c r="BD1564" s="33"/>
      <c r="BE1564" s="33"/>
      <c r="BF1564" s="29"/>
      <c r="BG1564" s="29"/>
      <c r="BH1564" s="12"/>
      <c r="BI1564" s="12"/>
      <c r="BJ1564" s="12"/>
    </row>
    <row r="1565" spans="53:62" x14ac:dyDescent="0.25">
      <c r="BA1565" s="12"/>
      <c r="BB1565" s="30"/>
      <c r="BC1565" s="33"/>
      <c r="BD1565" s="33"/>
      <c r="BE1565" s="33"/>
      <c r="BF1565" s="29"/>
      <c r="BG1565" s="29"/>
      <c r="BH1565" s="12"/>
      <c r="BI1565" s="12"/>
      <c r="BJ1565" s="12"/>
    </row>
    <row r="1566" spans="53:62" x14ac:dyDescent="0.25">
      <c r="BA1566" s="12"/>
      <c r="BB1566" s="30"/>
      <c r="BC1566" s="33"/>
      <c r="BD1566" s="33"/>
      <c r="BE1566" s="33"/>
      <c r="BF1566" s="29"/>
      <c r="BG1566" s="29"/>
      <c r="BH1566" s="12"/>
      <c r="BI1566" s="12"/>
      <c r="BJ1566" s="12"/>
    </row>
    <row r="1567" spans="53:62" x14ac:dyDescent="0.25">
      <c r="BA1567" s="12"/>
      <c r="BB1567" s="30"/>
      <c r="BC1567" s="33"/>
      <c r="BD1567" s="33"/>
      <c r="BE1567" s="33"/>
      <c r="BF1567" s="29"/>
      <c r="BG1567" s="29"/>
      <c r="BH1567" s="12"/>
      <c r="BI1567" s="12"/>
      <c r="BJ1567" s="12"/>
    </row>
    <row r="1568" spans="53:62" x14ac:dyDescent="0.25">
      <c r="BA1568" s="12"/>
      <c r="BB1568" s="30"/>
      <c r="BC1568" s="33"/>
      <c r="BD1568" s="33"/>
      <c r="BE1568" s="33"/>
      <c r="BF1568" s="29"/>
      <c r="BG1568" s="29"/>
      <c r="BH1568" s="12"/>
      <c r="BI1568" s="12"/>
      <c r="BJ1568" s="12"/>
    </row>
    <row r="1569" spans="53:62" x14ac:dyDescent="0.25">
      <c r="BA1569" s="12"/>
      <c r="BB1569" s="30"/>
      <c r="BC1569" s="33"/>
      <c r="BD1569" s="33"/>
      <c r="BE1569" s="33"/>
      <c r="BF1569" s="29"/>
      <c r="BG1569" s="29"/>
      <c r="BH1569" s="12"/>
      <c r="BI1569" s="12"/>
      <c r="BJ1569" s="12"/>
    </row>
    <row r="1570" spans="53:62" x14ac:dyDescent="0.25">
      <c r="BA1570" s="12"/>
      <c r="BB1570" s="30"/>
      <c r="BC1570" s="33"/>
      <c r="BD1570" s="33"/>
      <c r="BE1570" s="33"/>
      <c r="BF1570" s="29"/>
      <c r="BG1570" s="29"/>
      <c r="BH1570" s="12"/>
      <c r="BI1570" s="12"/>
      <c r="BJ1570" s="12"/>
    </row>
    <row r="1571" spans="53:62" x14ac:dyDescent="0.25">
      <c r="BA1571" s="12"/>
      <c r="BB1571" s="30"/>
      <c r="BC1571" s="33"/>
      <c r="BD1571" s="33"/>
      <c r="BE1571" s="33"/>
      <c r="BF1571" s="29"/>
      <c r="BG1571" s="29"/>
      <c r="BH1571" s="12"/>
      <c r="BI1571" s="12"/>
      <c r="BJ1571" s="12"/>
    </row>
    <row r="1572" spans="53:62" x14ac:dyDescent="0.25">
      <c r="BA1572" s="12"/>
      <c r="BB1572" s="30"/>
      <c r="BC1572" s="33"/>
      <c r="BD1572" s="33"/>
      <c r="BE1572" s="33"/>
      <c r="BF1572" s="29"/>
      <c r="BG1572" s="29"/>
      <c r="BH1572" s="12"/>
      <c r="BI1572" s="12"/>
      <c r="BJ1572" s="12"/>
    </row>
    <row r="1573" spans="53:62" x14ac:dyDescent="0.25">
      <c r="BA1573" s="12"/>
      <c r="BB1573" s="30"/>
      <c r="BC1573" s="33"/>
      <c r="BD1573" s="33"/>
      <c r="BE1573" s="33"/>
      <c r="BF1573" s="29"/>
      <c r="BG1573" s="29"/>
      <c r="BH1573" s="12"/>
      <c r="BI1573" s="12"/>
      <c r="BJ1573" s="12"/>
    </row>
    <row r="1574" spans="53:62" x14ac:dyDescent="0.25">
      <c r="BA1574" s="12"/>
      <c r="BB1574" s="30"/>
      <c r="BC1574" s="33"/>
      <c r="BD1574" s="33"/>
      <c r="BE1574" s="33"/>
      <c r="BF1574" s="29"/>
      <c r="BG1574" s="29"/>
      <c r="BH1574" s="12"/>
      <c r="BI1574" s="12"/>
      <c r="BJ1574" s="12"/>
    </row>
    <row r="1575" spans="53:62" x14ac:dyDescent="0.25">
      <c r="BA1575" s="12"/>
      <c r="BB1575" s="30"/>
      <c r="BC1575" s="33"/>
      <c r="BD1575" s="33"/>
      <c r="BE1575" s="33"/>
      <c r="BF1575" s="29"/>
      <c r="BG1575" s="29"/>
      <c r="BH1575" s="12"/>
      <c r="BI1575" s="12"/>
      <c r="BJ1575" s="12"/>
    </row>
    <row r="1576" spans="53:62" x14ac:dyDescent="0.25">
      <c r="BA1576" s="12"/>
      <c r="BB1576" s="30"/>
      <c r="BC1576" s="33"/>
      <c r="BD1576" s="33"/>
      <c r="BE1576" s="33"/>
      <c r="BF1576" s="29"/>
      <c r="BG1576" s="29"/>
      <c r="BH1576" s="12"/>
      <c r="BI1576" s="12"/>
      <c r="BJ1576" s="12"/>
    </row>
    <row r="1577" spans="53:62" x14ac:dyDescent="0.25">
      <c r="BA1577" s="12"/>
      <c r="BB1577" s="30"/>
      <c r="BC1577" s="33"/>
      <c r="BD1577" s="33"/>
      <c r="BE1577" s="33"/>
      <c r="BF1577" s="29"/>
      <c r="BG1577" s="29"/>
      <c r="BH1577" s="12"/>
      <c r="BI1577" s="12"/>
      <c r="BJ1577" s="12"/>
    </row>
    <row r="1578" spans="53:62" x14ac:dyDescent="0.25">
      <c r="BA1578" s="12"/>
      <c r="BB1578" s="30"/>
      <c r="BC1578" s="33"/>
      <c r="BD1578" s="33"/>
      <c r="BE1578" s="33"/>
      <c r="BF1578" s="29"/>
      <c r="BG1578" s="29"/>
      <c r="BH1578" s="12"/>
      <c r="BI1578" s="12"/>
      <c r="BJ1578" s="12"/>
    </row>
    <row r="1579" spans="53:62" x14ac:dyDescent="0.25">
      <c r="BA1579" s="12"/>
      <c r="BB1579" s="30"/>
      <c r="BC1579" s="33"/>
      <c r="BD1579" s="33"/>
      <c r="BE1579" s="33"/>
      <c r="BF1579" s="29"/>
      <c r="BG1579" s="29"/>
      <c r="BH1579" s="12"/>
      <c r="BI1579" s="12"/>
      <c r="BJ1579" s="12"/>
    </row>
    <row r="1580" spans="53:62" x14ac:dyDescent="0.25">
      <c r="BA1580" s="12"/>
      <c r="BB1580" s="30"/>
      <c r="BC1580" s="33"/>
      <c r="BD1580" s="33"/>
      <c r="BE1580" s="33"/>
      <c r="BF1580" s="29"/>
      <c r="BG1580" s="29"/>
      <c r="BH1580" s="12"/>
      <c r="BI1580" s="12"/>
      <c r="BJ1580" s="12"/>
    </row>
    <row r="1581" spans="53:62" x14ac:dyDescent="0.25">
      <c r="BA1581" s="12"/>
      <c r="BB1581" s="30"/>
      <c r="BC1581" s="33"/>
      <c r="BD1581" s="33"/>
      <c r="BE1581" s="33"/>
      <c r="BF1581" s="29"/>
      <c r="BG1581" s="29"/>
      <c r="BH1581" s="12"/>
      <c r="BI1581" s="12"/>
      <c r="BJ1581" s="12"/>
    </row>
    <row r="1582" spans="53:62" x14ac:dyDescent="0.25">
      <c r="BA1582" s="12"/>
      <c r="BB1582" s="30"/>
      <c r="BC1582" s="33"/>
      <c r="BD1582" s="33"/>
      <c r="BE1582" s="33"/>
      <c r="BF1582" s="29"/>
      <c r="BG1582" s="29"/>
      <c r="BH1582" s="12"/>
      <c r="BI1582" s="12"/>
      <c r="BJ1582" s="12"/>
    </row>
    <row r="1583" spans="53:62" x14ac:dyDescent="0.25">
      <c r="BA1583" s="12"/>
      <c r="BB1583" s="30"/>
      <c r="BC1583" s="33"/>
      <c r="BD1583" s="33"/>
      <c r="BE1583" s="33"/>
      <c r="BF1583" s="29"/>
      <c r="BG1583" s="29"/>
      <c r="BH1583" s="12"/>
      <c r="BI1583" s="12"/>
      <c r="BJ1583" s="12"/>
    </row>
    <row r="1584" spans="53:62" x14ac:dyDescent="0.25">
      <c r="BA1584" s="12"/>
      <c r="BB1584" s="30"/>
      <c r="BC1584" s="33"/>
      <c r="BD1584" s="33"/>
      <c r="BE1584" s="33"/>
      <c r="BF1584" s="29"/>
      <c r="BG1584" s="29"/>
      <c r="BH1584" s="12"/>
      <c r="BI1584" s="12"/>
      <c r="BJ1584" s="12"/>
    </row>
    <row r="1585" spans="53:62" x14ac:dyDescent="0.25">
      <c r="BA1585" s="12"/>
      <c r="BB1585" s="30"/>
      <c r="BC1585" s="33"/>
      <c r="BD1585" s="33"/>
      <c r="BE1585" s="33"/>
      <c r="BF1585" s="29"/>
      <c r="BG1585" s="29"/>
      <c r="BH1585" s="12"/>
      <c r="BI1585" s="12"/>
      <c r="BJ1585" s="12"/>
    </row>
    <row r="1586" spans="53:62" x14ac:dyDescent="0.25">
      <c r="BA1586" s="12"/>
      <c r="BB1586" s="30"/>
      <c r="BC1586" s="33"/>
      <c r="BD1586" s="33"/>
      <c r="BE1586" s="33"/>
      <c r="BF1586" s="29"/>
      <c r="BG1586" s="29"/>
      <c r="BH1586" s="12"/>
      <c r="BI1586" s="12"/>
      <c r="BJ1586" s="12"/>
    </row>
    <row r="1587" spans="53:62" x14ac:dyDescent="0.25">
      <c r="BA1587" s="12"/>
      <c r="BB1587" s="30"/>
      <c r="BC1587" s="33"/>
      <c r="BD1587" s="33"/>
      <c r="BE1587" s="33"/>
      <c r="BF1587" s="29"/>
      <c r="BG1587" s="29"/>
      <c r="BH1587" s="12"/>
      <c r="BI1587" s="12"/>
      <c r="BJ1587" s="12"/>
    </row>
    <row r="1588" spans="53:62" x14ac:dyDescent="0.25">
      <c r="BA1588" s="12"/>
      <c r="BB1588" s="30"/>
      <c r="BC1588" s="33"/>
      <c r="BD1588" s="33"/>
      <c r="BE1588" s="33"/>
      <c r="BF1588" s="29"/>
      <c r="BG1588" s="29"/>
      <c r="BH1588" s="12"/>
      <c r="BI1588" s="12"/>
      <c r="BJ1588" s="12"/>
    </row>
    <row r="1589" spans="53:62" x14ac:dyDescent="0.25">
      <c r="BA1589" s="12"/>
      <c r="BB1589" s="30"/>
      <c r="BC1589" s="33"/>
      <c r="BD1589" s="33"/>
      <c r="BE1589" s="33"/>
      <c r="BF1589" s="29"/>
      <c r="BG1589" s="29"/>
      <c r="BH1589" s="12"/>
      <c r="BI1589" s="12"/>
      <c r="BJ1589" s="12"/>
    </row>
    <row r="1590" spans="53:62" x14ac:dyDescent="0.25">
      <c r="BA1590" s="12"/>
      <c r="BB1590" s="30"/>
      <c r="BC1590" s="33"/>
      <c r="BD1590" s="33"/>
      <c r="BE1590" s="33"/>
      <c r="BF1590" s="29"/>
      <c r="BG1590" s="29"/>
      <c r="BH1590" s="12"/>
      <c r="BI1590" s="12"/>
      <c r="BJ1590" s="12"/>
    </row>
    <row r="1591" spans="53:62" x14ac:dyDescent="0.25">
      <c r="BA1591" s="12"/>
      <c r="BB1591" s="30"/>
      <c r="BC1591" s="33"/>
      <c r="BD1591" s="33"/>
      <c r="BE1591" s="33"/>
      <c r="BF1591" s="29"/>
      <c r="BG1591" s="29"/>
      <c r="BH1591" s="12"/>
      <c r="BI1591" s="12"/>
      <c r="BJ1591" s="12"/>
    </row>
    <row r="1592" spans="53:62" x14ac:dyDescent="0.25">
      <c r="BA1592" s="12"/>
      <c r="BB1592" s="30"/>
      <c r="BC1592" s="33"/>
      <c r="BD1592" s="33"/>
      <c r="BE1592" s="33"/>
      <c r="BF1592" s="29"/>
      <c r="BG1592" s="29"/>
      <c r="BH1592" s="12"/>
      <c r="BI1592" s="12"/>
      <c r="BJ1592" s="12"/>
    </row>
    <row r="1593" spans="53:62" x14ac:dyDescent="0.25">
      <c r="BA1593" s="12"/>
      <c r="BB1593" s="30"/>
      <c r="BC1593" s="33"/>
      <c r="BD1593" s="33"/>
      <c r="BE1593" s="33"/>
      <c r="BF1593" s="29"/>
      <c r="BG1593" s="29"/>
      <c r="BH1593" s="12"/>
      <c r="BI1593" s="12"/>
      <c r="BJ1593" s="12"/>
    </row>
    <row r="1594" spans="53:62" x14ac:dyDescent="0.25">
      <c r="BA1594" s="12"/>
      <c r="BB1594" s="30"/>
      <c r="BC1594" s="33"/>
      <c r="BD1594" s="33"/>
      <c r="BE1594" s="33"/>
      <c r="BF1594" s="29"/>
      <c r="BG1594" s="29"/>
      <c r="BH1594" s="12"/>
      <c r="BI1594" s="12"/>
      <c r="BJ1594" s="12"/>
    </row>
    <row r="1595" spans="53:62" x14ac:dyDescent="0.25">
      <c r="BA1595" s="12"/>
      <c r="BB1595" s="30"/>
      <c r="BC1595" s="33"/>
      <c r="BD1595" s="33"/>
      <c r="BE1595" s="33"/>
      <c r="BF1595" s="29"/>
      <c r="BG1595" s="29"/>
      <c r="BH1595" s="12"/>
      <c r="BI1595" s="12"/>
      <c r="BJ1595" s="12"/>
    </row>
    <row r="1596" spans="53:62" x14ac:dyDescent="0.25">
      <c r="BA1596" s="12"/>
      <c r="BB1596" s="30"/>
      <c r="BC1596" s="33"/>
      <c r="BD1596" s="33"/>
      <c r="BE1596" s="33"/>
      <c r="BF1596" s="29"/>
      <c r="BG1596" s="29"/>
      <c r="BH1596" s="12"/>
      <c r="BI1596" s="12"/>
      <c r="BJ1596" s="12"/>
    </row>
    <row r="1597" spans="53:62" x14ac:dyDescent="0.25">
      <c r="BA1597" s="12"/>
      <c r="BB1597" s="30"/>
      <c r="BC1597" s="33"/>
      <c r="BD1597" s="33"/>
      <c r="BE1597" s="33"/>
      <c r="BF1597" s="29"/>
      <c r="BG1597" s="29"/>
      <c r="BH1597" s="12"/>
      <c r="BI1597" s="12"/>
      <c r="BJ1597" s="12"/>
    </row>
    <row r="1598" spans="53:62" x14ac:dyDescent="0.25">
      <c r="BA1598" s="12"/>
      <c r="BB1598" s="30"/>
      <c r="BC1598" s="33"/>
      <c r="BD1598" s="33"/>
      <c r="BE1598" s="33"/>
      <c r="BF1598" s="29"/>
      <c r="BG1598" s="29"/>
      <c r="BH1598" s="12"/>
      <c r="BI1598" s="12"/>
      <c r="BJ1598" s="12"/>
    </row>
    <row r="1599" spans="53:62" x14ac:dyDescent="0.25">
      <c r="BA1599" s="12"/>
      <c r="BB1599" s="30"/>
      <c r="BC1599" s="33"/>
      <c r="BD1599" s="33"/>
      <c r="BE1599" s="33"/>
      <c r="BF1599" s="29"/>
      <c r="BG1599" s="29"/>
      <c r="BH1599" s="12"/>
      <c r="BI1599" s="12"/>
      <c r="BJ1599" s="12"/>
    </row>
    <row r="1600" spans="53:62" x14ac:dyDescent="0.25">
      <c r="BA1600" s="12"/>
      <c r="BB1600" s="30"/>
      <c r="BC1600" s="33"/>
      <c r="BD1600" s="33"/>
      <c r="BE1600" s="33"/>
      <c r="BF1600" s="29"/>
      <c r="BG1600" s="29"/>
      <c r="BH1600" s="12"/>
      <c r="BI1600" s="12"/>
      <c r="BJ1600" s="12"/>
    </row>
    <row r="1601" spans="53:62" x14ac:dyDescent="0.25">
      <c r="BA1601" s="12"/>
      <c r="BB1601" s="30"/>
      <c r="BC1601" s="33"/>
      <c r="BD1601" s="33"/>
      <c r="BE1601" s="33"/>
      <c r="BF1601" s="29"/>
      <c r="BG1601" s="29"/>
      <c r="BH1601" s="12"/>
      <c r="BI1601" s="12"/>
      <c r="BJ1601" s="12"/>
    </row>
    <row r="1602" spans="53:62" x14ac:dyDescent="0.25">
      <c r="BA1602" s="12"/>
      <c r="BB1602" s="30"/>
      <c r="BC1602" s="33"/>
      <c r="BD1602" s="33"/>
      <c r="BE1602" s="33"/>
      <c r="BF1602" s="29"/>
      <c r="BG1602" s="29"/>
      <c r="BH1602" s="12"/>
      <c r="BI1602" s="12"/>
      <c r="BJ1602" s="12"/>
    </row>
    <row r="1603" spans="53:62" x14ac:dyDescent="0.25">
      <c r="BA1603" s="12"/>
      <c r="BB1603" s="30"/>
      <c r="BC1603" s="33"/>
      <c r="BD1603" s="33"/>
      <c r="BE1603" s="33"/>
      <c r="BF1603" s="29"/>
      <c r="BG1603" s="29"/>
      <c r="BH1603" s="12"/>
      <c r="BI1603" s="12"/>
      <c r="BJ1603" s="12"/>
    </row>
    <row r="1604" spans="53:62" x14ac:dyDescent="0.25">
      <c r="BA1604" s="12"/>
      <c r="BB1604" s="30"/>
      <c r="BC1604" s="33"/>
      <c r="BD1604" s="33"/>
      <c r="BE1604" s="33"/>
      <c r="BF1604" s="29"/>
      <c r="BG1604" s="29"/>
      <c r="BH1604" s="12"/>
      <c r="BI1604" s="12"/>
      <c r="BJ1604" s="12"/>
    </row>
    <row r="1605" spans="53:62" x14ac:dyDescent="0.25">
      <c r="BA1605" s="12"/>
      <c r="BB1605" s="30"/>
      <c r="BC1605" s="33"/>
      <c r="BD1605" s="33"/>
      <c r="BE1605" s="33"/>
      <c r="BF1605" s="29"/>
      <c r="BG1605" s="29"/>
      <c r="BH1605" s="12"/>
      <c r="BI1605" s="12"/>
      <c r="BJ1605" s="12"/>
    </row>
    <row r="1606" spans="53:62" x14ac:dyDescent="0.25">
      <c r="BA1606" s="12"/>
      <c r="BB1606" s="30"/>
      <c r="BC1606" s="33"/>
      <c r="BD1606" s="33"/>
      <c r="BE1606" s="33"/>
      <c r="BF1606" s="29"/>
      <c r="BG1606" s="29"/>
      <c r="BH1606" s="12"/>
      <c r="BI1606" s="12"/>
      <c r="BJ1606" s="12"/>
    </row>
    <row r="1607" spans="53:62" x14ac:dyDescent="0.25">
      <c r="BA1607" s="12"/>
      <c r="BB1607" s="30"/>
      <c r="BC1607" s="33"/>
      <c r="BD1607" s="33"/>
      <c r="BE1607" s="33"/>
      <c r="BF1607" s="29"/>
      <c r="BG1607" s="29"/>
      <c r="BH1607" s="12"/>
      <c r="BI1607" s="12"/>
      <c r="BJ1607" s="12"/>
    </row>
    <row r="1608" spans="53:62" x14ac:dyDescent="0.25">
      <c r="BA1608" s="12"/>
      <c r="BB1608" s="30"/>
      <c r="BC1608" s="33"/>
      <c r="BD1608" s="33"/>
      <c r="BE1608" s="33"/>
      <c r="BF1608" s="29"/>
      <c r="BG1608" s="29"/>
      <c r="BH1608" s="12"/>
      <c r="BI1608" s="12"/>
      <c r="BJ1608" s="12"/>
    </row>
    <row r="1609" spans="53:62" x14ac:dyDescent="0.25">
      <c r="BA1609" s="12"/>
      <c r="BB1609" s="30"/>
      <c r="BC1609" s="33"/>
      <c r="BD1609" s="33"/>
      <c r="BE1609" s="33"/>
      <c r="BF1609" s="29"/>
      <c r="BG1609" s="29"/>
      <c r="BH1609" s="12"/>
      <c r="BI1609" s="12"/>
      <c r="BJ1609" s="12"/>
    </row>
    <row r="1610" spans="53:62" x14ac:dyDescent="0.25">
      <c r="BA1610" s="12"/>
      <c r="BB1610" s="30"/>
      <c r="BC1610" s="33"/>
      <c r="BD1610" s="33"/>
      <c r="BE1610" s="33"/>
      <c r="BF1610" s="29"/>
      <c r="BG1610" s="29"/>
      <c r="BH1610" s="12"/>
      <c r="BI1610" s="12"/>
      <c r="BJ1610" s="12"/>
    </row>
    <row r="1611" spans="53:62" x14ac:dyDescent="0.25">
      <c r="BA1611" s="12"/>
      <c r="BB1611" s="30"/>
      <c r="BC1611" s="33"/>
      <c r="BD1611" s="33"/>
      <c r="BE1611" s="33"/>
      <c r="BF1611" s="29"/>
      <c r="BG1611" s="29"/>
      <c r="BH1611" s="12"/>
      <c r="BI1611" s="12"/>
      <c r="BJ1611" s="12"/>
    </row>
    <row r="1612" spans="53:62" x14ac:dyDescent="0.25">
      <c r="BA1612" s="12"/>
      <c r="BB1612" s="30"/>
      <c r="BC1612" s="33"/>
      <c r="BD1612" s="33"/>
      <c r="BE1612" s="33"/>
      <c r="BF1612" s="29"/>
      <c r="BG1612" s="29"/>
      <c r="BH1612" s="12"/>
      <c r="BI1612" s="12"/>
      <c r="BJ1612" s="12"/>
    </row>
    <row r="1613" spans="53:62" x14ac:dyDescent="0.25">
      <c r="BA1613" s="12"/>
      <c r="BB1613" s="30"/>
      <c r="BC1613" s="33"/>
      <c r="BD1613" s="33"/>
      <c r="BE1613" s="33"/>
      <c r="BF1613" s="29"/>
      <c r="BG1613" s="29"/>
      <c r="BH1613" s="12"/>
      <c r="BI1613" s="12"/>
      <c r="BJ1613" s="12"/>
    </row>
    <row r="1614" spans="53:62" x14ac:dyDescent="0.25">
      <c r="BA1614" s="12"/>
      <c r="BB1614" s="30"/>
      <c r="BC1614" s="33"/>
      <c r="BD1614" s="33"/>
      <c r="BE1614" s="33"/>
      <c r="BF1614" s="29"/>
      <c r="BG1614" s="29"/>
      <c r="BH1614" s="12"/>
      <c r="BI1614" s="12"/>
      <c r="BJ1614" s="12"/>
    </row>
    <row r="1615" spans="53:62" x14ac:dyDescent="0.25">
      <c r="BA1615" s="12"/>
      <c r="BB1615" s="30"/>
      <c r="BC1615" s="33"/>
      <c r="BD1615" s="33"/>
      <c r="BE1615" s="33"/>
      <c r="BF1615" s="29"/>
      <c r="BG1615" s="29"/>
      <c r="BH1615" s="12"/>
      <c r="BI1615" s="12"/>
      <c r="BJ1615" s="12"/>
    </row>
    <row r="1616" spans="53:62" x14ac:dyDescent="0.25">
      <c r="BA1616" s="12"/>
      <c r="BB1616" s="30"/>
      <c r="BC1616" s="33"/>
      <c r="BD1616" s="33"/>
      <c r="BE1616" s="33"/>
      <c r="BF1616" s="29"/>
      <c r="BG1616" s="29"/>
      <c r="BH1616" s="12"/>
      <c r="BI1616" s="12"/>
      <c r="BJ1616" s="12"/>
    </row>
    <row r="1617" spans="53:62" x14ac:dyDescent="0.25">
      <c r="BA1617" s="12"/>
      <c r="BB1617" s="30"/>
      <c r="BC1617" s="33"/>
      <c r="BD1617" s="33"/>
      <c r="BE1617" s="33"/>
      <c r="BF1617" s="29"/>
      <c r="BG1617" s="29"/>
      <c r="BH1617" s="12"/>
      <c r="BI1617" s="12"/>
      <c r="BJ1617" s="12"/>
    </row>
    <row r="1618" spans="53:62" x14ac:dyDescent="0.25">
      <c r="BA1618" s="12"/>
      <c r="BB1618" s="30"/>
      <c r="BC1618" s="33"/>
      <c r="BD1618" s="33"/>
      <c r="BE1618" s="33"/>
      <c r="BF1618" s="29"/>
      <c r="BG1618" s="29"/>
      <c r="BH1618" s="12"/>
      <c r="BI1618" s="12"/>
      <c r="BJ1618" s="12"/>
    </row>
    <row r="1619" spans="53:62" x14ac:dyDescent="0.25">
      <c r="BA1619" s="12"/>
      <c r="BB1619" s="30"/>
      <c r="BC1619" s="33"/>
      <c r="BD1619" s="33"/>
      <c r="BE1619" s="33"/>
      <c r="BF1619" s="29"/>
      <c r="BG1619" s="29"/>
      <c r="BH1619" s="12"/>
      <c r="BI1619" s="12"/>
      <c r="BJ1619" s="12"/>
    </row>
    <row r="1620" spans="53:62" x14ac:dyDescent="0.25">
      <c r="BA1620" s="12"/>
      <c r="BB1620" s="30"/>
      <c r="BC1620" s="33"/>
      <c r="BD1620" s="33"/>
      <c r="BE1620" s="33"/>
      <c r="BF1620" s="29"/>
      <c r="BG1620" s="29"/>
      <c r="BH1620" s="12"/>
      <c r="BI1620" s="12"/>
      <c r="BJ1620" s="12"/>
    </row>
    <row r="1621" spans="53:62" x14ac:dyDescent="0.25">
      <c r="BA1621" s="12"/>
      <c r="BB1621" s="30"/>
      <c r="BC1621" s="33"/>
      <c r="BD1621" s="33"/>
      <c r="BE1621" s="33"/>
      <c r="BF1621" s="29"/>
      <c r="BG1621" s="29"/>
      <c r="BH1621" s="12"/>
      <c r="BI1621" s="12"/>
      <c r="BJ1621" s="12"/>
    </row>
    <row r="1622" spans="53:62" x14ac:dyDescent="0.25">
      <c r="BA1622" s="12"/>
      <c r="BB1622" s="30"/>
      <c r="BC1622" s="33"/>
      <c r="BD1622" s="33"/>
      <c r="BE1622" s="33"/>
      <c r="BF1622" s="29"/>
      <c r="BG1622" s="29"/>
      <c r="BH1622" s="12"/>
      <c r="BI1622" s="12"/>
      <c r="BJ1622" s="12"/>
    </row>
    <row r="1623" spans="53:62" x14ac:dyDescent="0.25">
      <c r="BA1623" s="12"/>
      <c r="BB1623" s="30"/>
      <c r="BC1623" s="33"/>
      <c r="BD1623" s="33"/>
      <c r="BE1623" s="33"/>
      <c r="BF1623" s="29"/>
      <c r="BG1623" s="29"/>
      <c r="BH1623" s="12"/>
      <c r="BI1623" s="12"/>
      <c r="BJ1623" s="12"/>
    </row>
    <row r="1624" spans="53:62" x14ac:dyDescent="0.25">
      <c r="BA1624" s="12"/>
      <c r="BB1624" s="30"/>
      <c r="BC1624" s="33"/>
      <c r="BD1624" s="33"/>
      <c r="BE1624" s="33"/>
      <c r="BF1624" s="29"/>
      <c r="BG1624" s="29"/>
      <c r="BH1624" s="12"/>
      <c r="BI1624" s="12"/>
      <c r="BJ1624" s="12"/>
    </row>
    <row r="1625" spans="53:62" x14ac:dyDescent="0.25">
      <c r="BA1625" s="12"/>
      <c r="BB1625" s="30"/>
      <c r="BC1625" s="33"/>
      <c r="BD1625" s="33"/>
      <c r="BE1625" s="33"/>
      <c r="BF1625" s="29"/>
      <c r="BG1625" s="29"/>
      <c r="BH1625" s="12"/>
      <c r="BI1625" s="12"/>
      <c r="BJ1625" s="12"/>
    </row>
    <row r="1626" spans="53:62" x14ac:dyDescent="0.25">
      <c r="BA1626" s="12"/>
      <c r="BB1626" s="30"/>
      <c r="BC1626" s="33"/>
      <c r="BD1626" s="33"/>
      <c r="BE1626" s="33"/>
      <c r="BF1626" s="29"/>
      <c r="BG1626" s="29"/>
      <c r="BH1626" s="12"/>
      <c r="BI1626" s="12"/>
      <c r="BJ1626" s="12"/>
    </row>
    <row r="1627" spans="53:62" x14ac:dyDescent="0.25">
      <c r="BA1627" s="12"/>
      <c r="BB1627" s="30"/>
      <c r="BC1627" s="33"/>
      <c r="BD1627" s="33"/>
      <c r="BE1627" s="33"/>
      <c r="BF1627" s="29"/>
      <c r="BG1627" s="29"/>
      <c r="BH1627" s="12"/>
      <c r="BI1627" s="12"/>
      <c r="BJ1627" s="12"/>
    </row>
    <row r="1628" spans="53:62" x14ac:dyDescent="0.25">
      <c r="BA1628" s="12"/>
      <c r="BB1628" s="30"/>
      <c r="BC1628" s="33"/>
      <c r="BD1628" s="33"/>
      <c r="BE1628" s="33"/>
      <c r="BF1628" s="29"/>
      <c r="BG1628" s="29"/>
      <c r="BH1628" s="12"/>
      <c r="BI1628" s="12"/>
      <c r="BJ1628" s="12"/>
    </row>
    <row r="1629" spans="53:62" x14ac:dyDescent="0.25">
      <c r="BA1629" s="12"/>
      <c r="BB1629" s="30"/>
      <c r="BC1629" s="33"/>
      <c r="BD1629" s="33"/>
      <c r="BE1629" s="33"/>
      <c r="BF1629" s="29"/>
      <c r="BG1629" s="29"/>
      <c r="BH1629" s="12"/>
      <c r="BI1629" s="12"/>
      <c r="BJ1629" s="12"/>
    </row>
    <row r="1630" spans="53:62" x14ac:dyDescent="0.25">
      <c r="BA1630" s="12"/>
      <c r="BB1630" s="30"/>
      <c r="BC1630" s="33"/>
      <c r="BD1630" s="33"/>
      <c r="BE1630" s="33"/>
      <c r="BF1630" s="29"/>
      <c r="BG1630" s="29"/>
      <c r="BH1630" s="12"/>
      <c r="BI1630" s="12"/>
      <c r="BJ1630" s="12"/>
    </row>
    <row r="1631" spans="53:62" x14ac:dyDescent="0.25">
      <c r="BA1631" s="12"/>
      <c r="BB1631" s="30"/>
      <c r="BC1631" s="33"/>
      <c r="BD1631" s="33"/>
      <c r="BE1631" s="33"/>
      <c r="BF1631" s="29"/>
      <c r="BG1631" s="29"/>
      <c r="BH1631" s="12"/>
      <c r="BI1631" s="12"/>
      <c r="BJ1631" s="12"/>
    </row>
    <row r="1632" spans="53:62" x14ac:dyDescent="0.25">
      <c r="BA1632" s="12"/>
      <c r="BB1632" s="30"/>
      <c r="BC1632" s="33"/>
      <c r="BD1632" s="33"/>
      <c r="BE1632" s="33"/>
      <c r="BF1632" s="29"/>
      <c r="BG1632" s="29"/>
      <c r="BH1632" s="12"/>
      <c r="BI1632" s="12"/>
      <c r="BJ1632" s="12"/>
    </row>
    <row r="1633" spans="53:62" x14ac:dyDescent="0.25">
      <c r="BA1633" s="12"/>
      <c r="BB1633" s="30"/>
      <c r="BC1633" s="33"/>
      <c r="BD1633" s="33"/>
      <c r="BE1633" s="33"/>
      <c r="BF1633" s="29"/>
      <c r="BG1633" s="29"/>
      <c r="BH1633" s="12"/>
      <c r="BI1633" s="12"/>
      <c r="BJ1633" s="12"/>
    </row>
    <row r="1634" spans="53:62" x14ac:dyDescent="0.25">
      <c r="BA1634" s="12"/>
      <c r="BB1634" s="30"/>
      <c r="BC1634" s="33"/>
      <c r="BD1634" s="33"/>
      <c r="BE1634" s="33"/>
      <c r="BF1634" s="29"/>
      <c r="BG1634" s="29"/>
      <c r="BH1634" s="12"/>
      <c r="BI1634" s="12"/>
      <c r="BJ1634" s="12"/>
    </row>
    <row r="1635" spans="53:62" x14ac:dyDescent="0.25">
      <c r="BA1635" s="12"/>
      <c r="BB1635" s="30"/>
      <c r="BC1635" s="33"/>
      <c r="BD1635" s="33"/>
      <c r="BE1635" s="33"/>
      <c r="BF1635" s="29"/>
      <c r="BG1635" s="29"/>
      <c r="BH1635" s="12"/>
      <c r="BI1635" s="12"/>
      <c r="BJ1635" s="12"/>
    </row>
    <row r="1636" spans="53:62" x14ac:dyDescent="0.25">
      <c r="BA1636" s="12"/>
      <c r="BB1636" s="30"/>
      <c r="BC1636" s="33"/>
      <c r="BD1636" s="33"/>
      <c r="BE1636" s="33"/>
      <c r="BF1636" s="29"/>
      <c r="BG1636" s="29"/>
      <c r="BH1636" s="12"/>
      <c r="BI1636" s="12"/>
      <c r="BJ1636" s="12"/>
    </row>
    <row r="1637" spans="53:62" x14ac:dyDescent="0.25">
      <c r="BA1637" s="12"/>
      <c r="BB1637" s="30"/>
      <c r="BC1637" s="33"/>
      <c r="BD1637" s="33"/>
      <c r="BE1637" s="33"/>
      <c r="BF1637" s="29"/>
      <c r="BG1637" s="29"/>
      <c r="BH1637" s="12"/>
      <c r="BI1637" s="12"/>
      <c r="BJ1637" s="12"/>
    </row>
    <row r="1638" spans="53:62" x14ac:dyDescent="0.25">
      <c r="BA1638" s="12"/>
      <c r="BB1638" s="30"/>
      <c r="BC1638" s="33"/>
      <c r="BD1638" s="33"/>
      <c r="BE1638" s="33"/>
      <c r="BF1638" s="29"/>
      <c r="BG1638" s="29"/>
      <c r="BH1638" s="12"/>
      <c r="BI1638" s="12"/>
      <c r="BJ1638" s="12"/>
    </row>
    <row r="1639" spans="53:62" x14ac:dyDescent="0.25">
      <c r="BA1639" s="12"/>
      <c r="BB1639" s="30"/>
      <c r="BC1639" s="33"/>
      <c r="BD1639" s="33"/>
      <c r="BE1639" s="33"/>
      <c r="BF1639" s="29"/>
      <c r="BG1639" s="29"/>
      <c r="BH1639" s="12"/>
      <c r="BI1639" s="12"/>
      <c r="BJ1639" s="12"/>
    </row>
    <row r="1640" spans="53:62" x14ac:dyDescent="0.25">
      <c r="BA1640" s="12"/>
      <c r="BB1640" s="30"/>
      <c r="BC1640" s="33"/>
      <c r="BD1640" s="33"/>
      <c r="BE1640" s="33"/>
      <c r="BF1640" s="29"/>
      <c r="BG1640" s="29"/>
      <c r="BH1640" s="12"/>
      <c r="BI1640" s="12"/>
      <c r="BJ1640" s="12"/>
    </row>
    <row r="1641" spans="53:62" x14ac:dyDescent="0.25">
      <c r="BA1641" s="12"/>
      <c r="BB1641" s="30"/>
      <c r="BC1641" s="33"/>
      <c r="BD1641" s="33"/>
      <c r="BE1641" s="33"/>
      <c r="BF1641" s="29"/>
      <c r="BG1641" s="29"/>
      <c r="BH1641" s="12"/>
      <c r="BI1641" s="12"/>
      <c r="BJ1641" s="12"/>
    </row>
    <row r="1642" spans="53:62" x14ac:dyDescent="0.25">
      <c r="BA1642" s="12"/>
      <c r="BB1642" s="30"/>
      <c r="BC1642" s="33"/>
      <c r="BD1642" s="33"/>
      <c r="BE1642" s="33"/>
      <c r="BF1642" s="29"/>
      <c r="BG1642" s="29"/>
      <c r="BH1642" s="12"/>
      <c r="BI1642" s="12"/>
      <c r="BJ1642" s="12"/>
    </row>
    <row r="1643" spans="53:62" x14ac:dyDescent="0.25">
      <c r="BA1643" s="12"/>
      <c r="BB1643" s="30"/>
      <c r="BC1643" s="33"/>
      <c r="BD1643" s="33"/>
      <c r="BE1643" s="33"/>
      <c r="BF1643" s="29"/>
      <c r="BG1643" s="29"/>
      <c r="BH1643" s="12"/>
      <c r="BI1643" s="12"/>
      <c r="BJ1643" s="12"/>
    </row>
    <row r="1644" spans="53:62" x14ac:dyDescent="0.25">
      <c r="BA1644" s="12"/>
      <c r="BB1644" s="30"/>
      <c r="BC1644" s="33"/>
      <c r="BD1644" s="33"/>
      <c r="BE1644" s="33"/>
      <c r="BF1644" s="29"/>
      <c r="BG1644" s="29"/>
      <c r="BH1644" s="12"/>
      <c r="BI1644" s="12"/>
      <c r="BJ1644" s="12"/>
    </row>
    <row r="1645" spans="53:62" x14ac:dyDescent="0.25">
      <c r="BA1645" s="12"/>
      <c r="BB1645" s="30"/>
      <c r="BC1645" s="33"/>
      <c r="BD1645" s="33"/>
      <c r="BE1645" s="33"/>
      <c r="BF1645" s="29"/>
      <c r="BG1645" s="29"/>
      <c r="BH1645" s="12"/>
      <c r="BI1645" s="12"/>
      <c r="BJ1645" s="12"/>
    </row>
    <row r="1646" spans="53:62" x14ac:dyDescent="0.25">
      <c r="BA1646" s="12"/>
      <c r="BB1646" s="30"/>
      <c r="BC1646" s="33"/>
      <c r="BD1646" s="33"/>
      <c r="BE1646" s="33"/>
      <c r="BF1646" s="29"/>
      <c r="BG1646" s="29"/>
      <c r="BH1646" s="12"/>
      <c r="BI1646" s="12"/>
      <c r="BJ1646" s="12"/>
    </row>
    <row r="1647" spans="53:62" x14ac:dyDescent="0.25">
      <c r="BA1647" s="12"/>
      <c r="BB1647" s="30"/>
      <c r="BC1647" s="33"/>
      <c r="BD1647" s="33"/>
      <c r="BE1647" s="33"/>
      <c r="BF1647" s="29"/>
      <c r="BG1647" s="29"/>
      <c r="BH1647" s="12"/>
      <c r="BI1647" s="12"/>
      <c r="BJ1647" s="12"/>
    </row>
    <row r="1648" spans="53:62" x14ac:dyDescent="0.25">
      <c r="BA1648" s="12"/>
      <c r="BB1648" s="30"/>
      <c r="BC1648" s="33"/>
      <c r="BD1648" s="33"/>
      <c r="BE1648" s="33"/>
      <c r="BF1648" s="29"/>
      <c r="BG1648" s="29"/>
      <c r="BH1648" s="12"/>
      <c r="BI1648" s="12"/>
      <c r="BJ1648" s="12"/>
    </row>
    <row r="1649" spans="53:62" x14ac:dyDescent="0.25">
      <c r="BA1649" s="12"/>
      <c r="BB1649" s="30"/>
      <c r="BC1649" s="33"/>
      <c r="BD1649" s="33"/>
      <c r="BE1649" s="33"/>
      <c r="BF1649" s="29"/>
      <c r="BG1649" s="29"/>
      <c r="BH1649" s="12"/>
      <c r="BI1649" s="12"/>
      <c r="BJ1649" s="12"/>
    </row>
    <row r="1650" spans="53:62" x14ac:dyDescent="0.25">
      <c r="BA1650" s="12"/>
      <c r="BB1650" s="30"/>
      <c r="BC1650" s="33"/>
      <c r="BD1650" s="33"/>
      <c r="BE1650" s="33"/>
      <c r="BF1650" s="29"/>
      <c r="BG1650" s="29"/>
      <c r="BH1650" s="12"/>
      <c r="BI1650" s="12"/>
      <c r="BJ1650" s="12"/>
    </row>
    <row r="1651" spans="53:62" x14ac:dyDescent="0.25">
      <c r="BA1651" s="12"/>
      <c r="BB1651" s="30"/>
      <c r="BC1651" s="33"/>
      <c r="BD1651" s="33"/>
      <c r="BE1651" s="33"/>
      <c r="BF1651" s="29"/>
      <c r="BG1651" s="29"/>
      <c r="BH1651" s="12"/>
      <c r="BI1651" s="12"/>
      <c r="BJ1651" s="12"/>
    </row>
    <row r="1652" spans="53:62" x14ac:dyDescent="0.25">
      <c r="BA1652" s="12"/>
      <c r="BB1652" s="30"/>
      <c r="BC1652" s="33"/>
      <c r="BD1652" s="33"/>
      <c r="BE1652" s="33"/>
      <c r="BF1652" s="29"/>
      <c r="BG1652" s="29"/>
      <c r="BH1652" s="12"/>
      <c r="BI1652" s="12"/>
      <c r="BJ1652" s="12"/>
    </row>
    <row r="1653" spans="53:62" x14ac:dyDescent="0.25">
      <c r="BA1653" s="12"/>
      <c r="BB1653" s="30"/>
      <c r="BC1653" s="33"/>
      <c r="BD1653" s="33"/>
      <c r="BE1653" s="33"/>
      <c r="BF1653" s="29"/>
      <c r="BG1653" s="29"/>
      <c r="BH1653" s="12"/>
      <c r="BI1653" s="12"/>
      <c r="BJ1653" s="12"/>
    </row>
    <row r="1654" spans="53:62" x14ac:dyDescent="0.25">
      <c r="BA1654" s="12"/>
      <c r="BB1654" s="30"/>
      <c r="BC1654" s="33"/>
      <c r="BD1654" s="33"/>
      <c r="BE1654" s="33"/>
      <c r="BF1654" s="29"/>
      <c r="BG1654" s="29"/>
      <c r="BH1654" s="12"/>
      <c r="BI1654" s="12"/>
      <c r="BJ1654" s="12"/>
    </row>
    <row r="1655" spans="53:62" x14ac:dyDescent="0.25">
      <c r="BA1655" s="12"/>
      <c r="BB1655" s="30"/>
      <c r="BC1655" s="33"/>
      <c r="BD1655" s="33"/>
      <c r="BE1655" s="33"/>
      <c r="BF1655" s="29"/>
      <c r="BG1655" s="29"/>
      <c r="BH1655" s="12"/>
      <c r="BI1655" s="12"/>
      <c r="BJ1655" s="12"/>
    </row>
    <row r="1656" spans="53:62" x14ac:dyDescent="0.25">
      <c r="BA1656" s="12"/>
      <c r="BB1656" s="30"/>
      <c r="BC1656" s="33"/>
      <c r="BD1656" s="33"/>
      <c r="BE1656" s="33"/>
      <c r="BF1656" s="29"/>
      <c r="BG1656" s="29"/>
      <c r="BH1656" s="12"/>
      <c r="BI1656" s="12"/>
      <c r="BJ1656" s="12"/>
    </row>
    <row r="1657" spans="53:62" x14ac:dyDescent="0.25">
      <c r="BA1657" s="12"/>
      <c r="BB1657" s="30"/>
      <c r="BC1657" s="33"/>
      <c r="BD1657" s="33"/>
      <c r="BE1657" s="33"/>
      <c r="BF1657" s="29"/>
      <c r="BG1657" s="29"/>
      <c r="BH1657" s="12"/>
      <c r="BI1657" s="12"/>
      <c r="BJ1657" s="12"/>
    </row>
    <row r="1658" spans="53:62" x14ac:dyDescent="0.25">
      <c r="BA1658" s="12"/>
      <c r="BB1658" s="30"/>
      <c r="BC1658" s="33"/>
      <c r="BD1658" s="33"/>
      <c r="BE1658" s="33"/>
      <c r="BF1658" s="29"/>
      <c r="BG1658" s="29"/>
      <c r="BH1658" s="12"/>
      <c r="BI1658" s="12"/>
      <c r="BJ1658" s="12"/>
    </row>
    <row r="1659" spans="53:62" x14ac:dyDescent="0.25">
      <c r="BA1659" s="12"/>
      <c r="BB1659" s="30"/>
      <c r="BC1659" s="33"/>
      <c r="BD1659" s="33"/>
      <c r="BE1659" s="33"/>
      <c r="BF1659" s="29"/>
      <c r="BG1659" s="29"/>
      <c r="BH1659" s="12"/>
      <c r="BI1659" s="12"/>
      <c r="BJ1659" s="12"/>
    </row>
    <row r="1660" spans="53:62" x14ac:dyDescent="0.25">
      <c r="BA1660" s="12"/>
      <c r="BB1660" s="30"/>
      <c r="BC1660" s="33"/>
      <c r="BD1660" s="33"/>
      <c r="BE1660" s="33"/>
      <c r="BF1660" s="29"/>
      <c r="BG1660" s="29"/>
      <c r="BH1660" s="12"/>
      <c r="BI1660" s="12"/>
      <c r="BJ1660" s="12"/>
    </row>
    <row r="1661" spans="53:62" x14ac:dyDescent="0.25">
      <c r="BA1661" s="12"/>
      <c r="BB1661" s="30"/>
      <c r="BC1661" s="33"/>
      <c r="BD1661" s="33"/>
      <c r="BE1661" s="33"/>
      <c r="BF1661" s="29"/>
      <c r="BG1661" s="29"/>
      <c r="BH1661" s="12"/>
      <c r="BI1661" s="12"/>
      <c r="BJ1661" s="12"/>
    </row>
    <row r="1662" spans="53:62" x14ac:dyDescent="0.25">
      <c r="BA1662" s="12"/>
      <c r="BB1662" s="30"/>
      <c r="BC1662" s="33"/>
      <c r="BD1662" s="33"/>
      <c r="BE1662" s="33"/>
      <c r="BF1662" s="29"/>
      <c r="BG1662" s="29"/>
      <c r="BH1662" s="12"/>
      <c r="BI1662" s="12"/>
      <c r="BJ1662" s="12"/>
    </row>
    <row r="1663" spans="53:62" x14ac:dyDescent="0.25">
      <c r="BA1663" s="12"/>
      <c r="BB1663" s="30"/>
      <c r="BC1663" s="33"/>
      <c r="BD1663" s="33"/>
      <c r="BE1663" s="33"/>
      <c r="BF1663" s="29"/>
      <c r="BG1663" s="29"/>
      <c r="BH1663" s="12"/>
      <c r="BI1663" s="12"/>
      <c r="BJ1663" s="12"/>
    </row>
    <row r="1664" spans="53:62" x14ac:dyDescent="0.25">
      <c r="BA1664" s="12"/>
      <c r="BB1664" s="30"/>
      <c r="BC1664" s="33"/>
      <c r="BD1664" s="33"/>
      <c r="BE1664" s="33"/>
      <c r="BF1664" s="29"/>
      <c r="BG1664" s="29"/>
      <c r="BH1664" s="12"/>
      <c r="BI1664" s="12"/>
      <c r="BJ1664" s="12"/>
    </row>
    <row r="1665" spans="53:62" x14ac:dyDescent="0.25">
      <c r="BA1665" s="12"/>
      <c r="BB1665" s="30"/>
      <c r="BC1665" s="33"/>
      <c r="BD1665" s="33"/>
      <c r="BE1665" s="33"/>
      <c r="BF1665" s="29"/>
      <c r="BG1665" s="29"/>
      <c r="BH1665" s="12"/>
      <c r="BI1665" s="12"/>
      <c r="BJ1665" s="12"/>
    </row>
    <row r="1666" spans="53:62" x14ac:dyDescent="0.25">
      <c r="BA1666" s="12"/>
      <c r="BB1666" s="30"/>
      <c r="BC1666" s="33"/>
      <c r="BD1666" s="33"/>
      <c r="BE1666" s="33"/>
      <c r="BF1666" s="29"/>
      <c r="BG1666" s="29"/>
      <c r="BH1666" s="12"/>
      <c r="BI1666" s="12"/>
      <c r="BJ1666" s="12"/>
    </row>
    <row r="1667" spans="53:62" x14ac:dyDescent="0.25">
      <c r="BA1667" s="12"/>
      <c r="BB1667" s="30"/>
      <c r="BC1667" s="33"/>
      <c r="BD1667" s="33"/>
      <c r="BE1667" s="33"/>
      <c r="BF1667" s="29"/>
      <c r="BG1667" s="29"/>
      <c r="BH1667" s="12"/>
      <c r="BI1667" s="12"/>
      <c r="BJ1667" s="12"/>
    </row>
    <row r="1668" spans="53:62" x14ac:dyDescent="0.25">
      <c r="BA1668" s="12"/>
      <c r="BB1668" s="30"/>
      <c r="BC1668" s="33"/>
      <c r="BD1668" s="33"/>
      <c r="BE1668" s="33"/>
      <c r="BF1668" s="29"/>
      <c r="BG1668" s="29"/>
      <c r="BH1668" s="12"/>
      <c r="BI1668" s="12"/>
      <c r="BJ1668" s="12"/>
    </row>
    <row r="1669" spans="53:62" x14ac:dyDescent="0.25">
      <c r="BA1669" s="12"/>
      <c r="BB1669" s="30"/>
      <c r="BC1669" s="33"/>
      <c r="BD1669" s="33"/>
      <c r="BE1669" s="33"/>
      <c r="BF1669" s="29"/>
      <c r="BG1669" s="29"/>
      <c r="BH1669" s="12"/>
      <c r="BI1669" s="12"/>
      <c r="BJ1669" s="12"/>
    </row>
    <row r="1670" spans="53:62" x14ac:dyDescent="0.25">
      <c r="BA1670" s="12"/>
      <c r="BB1670" s="30"/>
      <c r="BC1670" s="33"/>
      <c r="BD1670" s="33"/>
      <c r="BE1670" s="33"/>
      <c r="BF1670" s="29"/>
      <c r="BG1670" s="29"/>
      <c r="BH1670" s="12"/>
      <c r="BI1670" s="12"/>
      <c r="BJ1670" s="12"/>
    </row>
    <row r="1671" spans="53:62" x14ac:dyDescent="0.25">
      <c r="BA1671" s="12"/>
      <c r="BB1671" s="30"/>
      <c r="BC1671" s="33"/>
      <c r="BD1671" s="33"/>
      <c r="BE1671" s="33"/>
      <c r="BF1671" s="29"/>
      <c r="BG1671" s="29"/>
      <c r="BH1671" s="12"/>
      <c r="BI1671" s="12"/>
      <c r="BJ1671" s="12"/>
    </row>
    <row r="1672" spans="53:62" x14ac:dyDescent="0.25">
      <c r="BA1672" s="12"/>
      <c r="BB1672" s="30"/>
      <c r="BC1672" s="33"/>
      <c r="BD1672" s="33"/>
      <c r="BE1672" s="33"/>
      <c r="BF1672" s="29"/>
      <c r="BG1672" s="29"/>
      <c r="BH1672" s="12"/>
      <c r="BI1672" s="12"/>
      <c r="BJ1672" s="12"/>
    </row>
    <row r="1673" spans="53:62" x14ac:dyDescent="0.25">
      <c r="BA1673" s="12"/>
      <c r="BB1673" s="30"/>
      <c r="BC1673" s="33"/>
      <c r="BD1673" s="33"/>
      <c r="BE1673" s="33"/>
      <c r="BF1673" s="29"/>
      <c r="BG1673" s="29"/>
      <c r="BH1673" s="12"/>
      <c r="BI1673" s="12"/>
      <c r="BJ1673" s="12"/>
    </row>
    <row r="1674" spans="53:62" x14ac:dyDescent="0.25">
      <c r="BA1674" s="12"/>
      <c r="BB1674" s="30"/>
      <c r="BC1674" s="33"/>
      <c r="BD1674" s="33"/>
      <c r="BE1674" s="33"/>
      <c r="BF1674" s="29"/>
      <c r="BG1674" s="29"/>
      <c r="BH1674" s="12"/>
      <c r="BI1674" s="12"/>
      <c r="BJ1674" s="12"/>
    </row>
    <row r="1675" spans="53:62" x14ac:dyDescent="0.25">
      <c r="BA1675" s="12"/>
      <c r="BB1675" s="30"/>
      <c r="BC1675" s="33"/>
      <c r="BD1675" s="33"/>
      <c r="BE1675" s="33"/>
      <c r="BF1675" s="29"/>
      <c r="BG1675" s="29"/>
      <c r="BH1675" s="12"/>
      <c r="BI1675" s="12"/>
      <c r="BJ1675" s="12"/>
    </row>
    <row r="1676" spans="53:62" x14ac:dyDescent="0.25">
      <c r="BA1676" s="12"/>
      <c r="BB1676" s="30"/>
      <c r="BC1676" s="33"/>
      <c r="BD1676" s="33"/>
      <c r="BE1676" s="33"/>
      <c r="BF1676" s="29"/>
      <c r="BG1676" s="29"/>
      <c r="BH1676" s="12"/>
      <c r="BI1676" s="12"/>
      <c r="BJ1676" s="12"/>
    </row>
    <row r="1677" spans="53:62" x14ac:dyDescent="0.25">
      <c r="BA1677" s="12"/>
      <c r="BB1677" s="30"/>
      <c r="BC1677" s="33"/>
      <c r="BD1677" s="33"/>
      <c r="BE1677" s="33"/>
      <c r="BF1677" s="29"/>
      <c r="BG1677" s="29"/>
      <c r="BH1677" s="12"/>
      <c r="BI1677" s="12"/>
      <c r="BJ1677" s="12"/>
    </row>
    <row r="1678" spans="53:62" x14ac:dyDescent="0.25">
      <c r="BA1678" s="12"/>
      <c r="BB1678" s="30"/>
      <c r="BC1678" s="33"/>
      <c r="BD1678" s="33"/>
      <c r="BE1678" s="33"/>
      <c r="BF1678" s="29"/>
      <c r="BG1678" s="29"/>
      <c r="BH1678" s="12"/>
      <c r="BI1678" s="12"/>
      <c r="BJ1678" s="12"/>
    </row>
    <row r="1679" spans="53:62" x14ac:dyDescent="0.25">
      <c r="BA1679" s="12"/>
      <c r="BB1679" s="30"/>
      <c r="BC1679" s="33"/>
      <c r="BD1679" s="33"/>
      <c r="BE1679" s="33"/>
      <c r="BF1679" s="29"/>
      <c r="BG1679" s="29"/>
      <c r="BH1679" s="12"/>
      <c r="BI1679" s="12"/>
      <c r="BJ1679" s="12"/>
    </row>
    <row r="1680" spans="53:62" x14ac:dyDescent="0.25">
      <c r="BA1680" s="12"/>
      <c r="BB1680" s="30"/>
      <c r="BC1680" s="33"/>
      <c r="BD1680" s="33"/>
      <c r="BE1680" s="33"/>
      <c r="BF1680" s="29"/>
      <c r="BG1680" s="29"/>
      <c r="BH1680" s="12"/>
      <c r="BI1680" s="12"/>
      <c r="BJ1680" s="12"/>
    </row>
    <row r="1681" spans="53:62" x14ac:dyDescent="0.25">
      <c r="BA1681" s="12"/>
      <c r="BB1681" s="30"/>
      <c r="BC1681" s="33"/>
      <c r="BD1681" s="33"/>
      <c r="BE1681" s="33"/>
      <c r="BF1681" s="29"/>
      <c r="BG1681" s="29"/>
      <c r="BH1681" s="12"/>
      <c r="BI1681" s="12"/>
      <c r="BJ1681" s="12"/>
    </row>
    <row r="1682" spans="53:62" x14ac:dyDescent="0.25">
      <c r="BA1682" s="12"/>
      <c r="BB1682" s="30"/>
      <c r="BC1682" s="33"/>
      <c r="BD1682" s="33"/>
      <c r="BE1682" s="33"/>
      <c r="BF1682" s="29"/>
      <c r="BG1682" s="29"/>
      <c r="BH1682" s="12"/>
      <c r="BI1682" s="12"/>
      <c r="BJ1682" s="12"/>
    </row>
    <row r="1683" spans="53:62" x14ac:dyDescent="0.25">
      <c r="BA1683" s="12"/>
      <c r="BB1683" s="30"/>
      <c r="BC1683" s="33"/>
      <c r="BD1683" s="33"/>
      <c r="BE1683" s="33"/>
      <c r="BF1683" s="29"/>
      <c r="BG1683" s="29"/>
      <c r="BH1683" s="12"/>
      <c r="BI1683" s="12"/>
      <c r="BJ1683" s="12"/>
    </row>
    <row r="1684" spans="53:62" x14ac:dyDescent="0.25">
      <c r="BA1684" s="12"/>
      <c r="BB1684" s="30"/>
      <c r="BC1684" s="33"/>
      <c r="BD1684" s="33"/>
      <c r="BE1684" s="33"/>
      <c r="BF1684" s="29"/>
      <c r="BG1684" s="29"/>
      <c r="BH1684" s="12"/>
      <c r="BI1684" s="12"/>
      <c r="BJ1684" s="12"/>
    </row>
    <row r="1685" spans="53:62" x14ac:dyDescent="0.25">
      <c r="BA1685" s="12"/>
      <c r="BB1685" s="30"/>
      <c r="BC1685" s="33"/>
      <c r="BD1685" s="33"/>
      <c r="BE1685" s="33"/>
      <c r="BF1685" s="29"/>
      <c r="BG1685" s="29"/>
      <c r="BH1685" s="12"/>
      <c r="BI1685" s="12"/>
      <c r="BJ1685" s="12"/>
    </row>
    <row r="1686" spans="53:62" x14ac:dyDescent="0.25">
      <c r="BA1686" s="12"/>
      <c r="BB1686" s="30"/>
      <c r="BC1686" s="33"/>
      <c r="BD1686" s="33"/>
      <c r="BE1686" s="33"/>
      <c r="BF1686" s="29"/>
      <c r="BG1686" s="29"/>
      <c r="BH1686" s="12"/>
      <c r="BI1686" s="12"/>
      <c r="BJ1686" s="12"/>
    </row>
    <row r="1687" spans="53:62" x14ac:dyDescent="0.25">
      <c r="BA1687" s="12"/>
      <c r="BB1687" s="30"/>
      <c r="BC1687" s="33"/>
      <c r="BD1687" s="33"/>
      <c r="BE1687" s="33"/>
      <c r="BF1687" s="29"/>
      <c r="BG1687" s="29"/>
      <c r="BH1687" s="12"/>
      <c r="BI1687" s="12"/>
      <c r="BJ1687" s="12"/>
    </row>
    <row r="1688" spans="53:62" x14ac:dyDescent="0.25">
      <c r="BA1688" s="12"/>
      <c r="BB1688" s="30"/>
      <c r="BC1688" s="33"/>
      <c r="BD1688" s="33"/>
      <c r="BE1688" s="33"/>
      <c r="BF1688" s="29"/>
      <c r="BG1688" s="29"/>
      <c r="BH1688" s="12"/>
      <c r="BI1688" s="12"/>
      <c r="BJ1688" s="12"/>
    </row>
    <row r="1689" spans="53:62" x14ac:dyDescent="0.25">
      <c r="BA1689" s="12"/>
      <c r="BB1689" s="30"/>
      <c r="BC1689" s="33"/>
      <c r="BD1689" s="33"/>
      <c r="BE1689" s="33"/>
      <c r="BF1689" s="29"/>
      <c r="BG1689" s="29"/>
      <c r="BH1689" s="12"/>
      <c r="BI1689" s="12"/>
      <c r="BJ1689" s="12"/>
    </row>
    <row r="1690" spans="53:62" x14ac:dyDescent="0.25">
      <c r="BA1690" s="12"/>
      <c r="BB1690" s="30"/>
      <c r="BC1690" s="33"/>
      <c r="BD1690" s="33"/>
      <c r="BE1690" s="33"/>
      <c r="BF1690" s="29"/>
      <c r="BG1690" s="29"/>
      <c r="BH1690" s="12"/>
      <c r="BI1690" s="12"/>
      <c r="BJ1690" s="12"/>
    </row>
    <row r="1691" spans="53:62" x14ac:dyDescent="0.25">
      <c r="BA1691" s="12"/>
      <c r="BB1691" s="30"/>
      <c r="BC1691" s="33"/>
      <c r="BD1691" s="33"/>
      <c r="BE1691" s="33"/>
      <c r="BF1691" s="29"/>
      <c r="BG1691" s="29"/>
      <c r="BH1691" s="12"/>
      <c r="BI1691" s="12"/>
      <c r="BJ1691" s="12"/>
    </row>
    <row r="1692" spans="53:62" x14ac:dyDescent="0.25">
      <c r="BA1692" s="12"/>
      <c r="BB1692" s="30"/>
      <c r="BC1692" s="33"/>
      <c r="BD1692" s="33"/>
      <c r="BE1692" s="33"/>
      <c r="BF1692" s="29"/>
      <c r="BG1692" s="29"/>
      <c r="BH1692" s="12"/>
      <c r="BI1692" s="12"/>
      <c r="BJ1692" s="12"/>
    </row>
    <row r="1693" spans="53:62" x14ac:dyDescent="0.25">
      <c r="BA1693" s="12"/>
      <c r="BB1693" s="30"/>
      <c r="BC1693" s="33"/>
      <c r="BD1693" s="33"/>
      <c r="BE1693" s="33"/>
      <c r="BF1693" s="29"/>
      <c r="BG1693" s="29"/>
      <c r="BH1693" s="12"/>
      <c r="BI1693" s="12"/>
      <c r="BJ1693" s="12"/>
    </row>
    <row r="1694" spans="53:62" x14ac:dyDescent="0.25">
      <c r="BA1694" s="12"/>
      <c r="BB1694" s="30"/>
      <c r="BC1694" s="33"/>
      <c r="BD1694" s="33"/>
      <c r="BE1694" s="33"/>
      <c r="BF1694" s="29"/>
      <c r="BG1694" s="29"/>
      <c r="BH1694" s="12"/>
      <c r="BI1694" s="12"/>
      <c r="BJ1694" s="12"/>
    </row>
    <row r="1695" spans="53:62" x14ac:dyDescent="0.25">
      <c r="BA1695" s="12"/>
      <c r="BB1695" s="30"/>
      <c r="BC1695" s="33"/>
      <c r="BD1695" s="33"/>
      <c r="BE1695" s="33"/>
      <c r="BF1695" s="29"/>
      <c r="BG1695" s="29"/>
      <c r="BH1695" s="12"/>
      <c r="BI1695" s="12"/>
      <c r="BJ1695" s="12"/>
    </row>
    <row r="1696" spans="53:62" x14ac:dyDescent="0.25">
      <c r="BA1696" s="12"/>
      <c r="BB1696" s="30"/>
      <c r="BC1696" s="33"/>
      <c r="BD1696" s="33"/>
      <c r="BE1696" s="33"/>
      <c r="BF1696" s="29"/>
      <c r="BG1696" s="29"/>
      <c r="BH1696" s="12"/>
      <c r="BI1696" s="12"/>
      <c r="BJ1696" s="12"/>
    </row>
    <row r="1697" spans="53:62" x14ac:dyDescent="0.25">
      <c r="BA1697" s="12"/>
      <c r="BB1697" s="30"/>
      <c r="BC1697" s="33"/>
      <c r="BD1697" s="33"/>
      <c r="BE1697" s="33"/>
      <c r="BF1697" s="29"/>
      <c r="BG1697" s="29"/>
      <c r="BH1697" s="12"/>
      <c r="BI1697" s="12"/>
      <c r="BJ1697" s="12"/>
    </row>
    <row r="1698" spans="53:62" x14ac:dyDescent="0.25">
      <c r="BA1698" s="12"/>
      <c r="BB1698" s="30"/>
      <c r="BC1698" s="33"/>
      <c r="BD1698" s="33"/>
      <c r="BE1698" s="33"/>
      <c r="BF1698" s="29"/>
      <c r="BG1698" s="29"/>
      <c r="BH1698" s="12"/>
      <c r="BI1698" s="12"/>
      <c r="BJ1698" s="12"/>
    </row>
    <row r="1699" spans="53:62" x14ac:dyDescent="0.25">
      <c r="BA1699" s="12"/>
      <c r="BB1699" s="30"/>
      <c r="BC1699" s="33"/>
      <c r="BD1699" s="33"/>
      <c r="BE1699" s="33"/>
      <c r="BF1699" s="29"/>
      <c r="BG1699" s="29"/>
      <c r="BH1699" s="12"/>
      <c r="BI1699" s="12"/>
      <c r="BJ1699" s="12"/>
    </row>
    <row r="1700" spans="53:62" x14ac:dyDescent="0.25">
      <c r="BA1700" s="12"/>
      <c r="BB1700" s="30"/>
      <c r="BC1700" s="33"/>
      <c r="BD1700" s="33"/>
      <c r="BE1700" s="33"/>
      <c r="BF1700" s="29"/>
      <c r="BG1700" s="29"/>
      <c r="BH1700" s="12"/>
      <c r="BI1700" s="12"/>
      <c r="BJ1700" s="12"/>
    </row>
    <row r="1701" spans="53:62" x14ac:dyDescent="0.25">
      <c r="BA1701" s="12"/>
      <c r="BB1701" s="30"/>
      <c r="BC1701" s="33"/>
      <c r="BD1701" s="33"/>
      <c r="BE1701" s="33"/>
      <c r="BF1701" s="29"/>
      <c r="BG1701" s="29"/>
      <c r="BH1701" s="12"/>
      <c r="BI1701" s="12"/>
      <c r="BJ1701" s="12"/>
    </row>
    <row r="1702" spans="53:62" x14ac:dyDescent="0.25">
      <c r="BA1702" s="12"/>
      <c r="BB1702" s="30"/>
      <c r="BC1702" s="33"/>
      <c r="BD1702" s="33"/>
      <c r="BE1702" s="33"/>
      <c r="BF1702" s="29"/>
      <c r="BG1702" s="29"/>
      <c r="BH1702" s="12"/>
      <c r="BI1702" s="12"/>
      <c r="BJ1702" s="12"/>
    </row>
    <row r="1703" spans="53:62" x14ac:dyDescent="0.25">
      <c r="BA1703" s="12"/>
      <c r="BB1703" s="30"/>
      <c r="BC1703" s="33"/>
      <c r="BD1703" s="33"/>
      <c r="BE1703" s="33"/>
      <c r="BF1703" s="29"/>
      <c r="BG1703" s="29"/>
      <c r="BH1703" s="12"/>
      <c r="BI1703" s="12"/>
      <c r="BJ1703" s="12"/>
    </row>
    <row r="1704" spans="53:62" x14ac:dyDescent="0.25">
      <c r="BA1704" s="12"/>
      <c r="BB1704" s="30"/>
      <c r="BC1704" s="33"/>
      <c r="BD1704" s="33"/>
      <c r="BE1704" s="33"/>
      <c r="BF1704" s="29"/>
      <c r="BG1704" s="29"/>
      <c r="BH1704" s="12"/>
      <c r="BI1704" s="12"/>
      <c r="BJ1704" s="12"/>
    </row>
    <row r="1705" spans="53:62" x14ac:dyDescent="0.25">
      <c r="BA1705" s="12"/>
      <c r="BB1705" s="30"/>
      <c r="BC1705" s="33"/>
      <c r="BD1705" s="33"/>
      <c r="BE1705" s="33"/>
      <c r="BF1705" s="29"/>
      <c r="BG1705" s="29"/>
      <c r="BH1705" s="12"/>
      <c r="BI1705" s="12"/>
      <c r="BJ1705" s="12"/>
    </row>
    <row r="1706" spans="53:62" x14ac:dyDescent="0.25">
      <c r="BA1706" s="12"/>
      <c r="BB1706" s="30"/>
      <c r="BC1706" s="33"/>
      <c r="BD1706" s="33"/>
      <c r="BE1706" s="33"/>
      <c r="BF1706" s="29"/>
      <c r="BG1706" s="29"/>
      <c r="BH1706" s="12"/>
      <c r="BI1706" s="12"/>
      <c r="BJ1706" s="12"/>
    </row>
    <row r="1707" spans="53:62" x14ac:dyDescent="0.25">
      <c r="BA1707" s="12"/>
      <c r="BB1707" s="30"/>
      <c r="BC1707" s="33"/>
      <c r="BD1707" s="33"/>
      <c r="BE1707" s="33"/>
      <c r="BF1707" s="29"/>
      <c r="BG1707" s="29"/>
      <c r="BH1707" s="12"/>
      <c r="BI1707" s="12"/>
      <c r="BJ1707" s="12"/>
    </row>
    <row r="1708" spans="53:62" x14ac:dyDescent="0.25">
      <c r="BA1708" s="12"/>
      <c r="BB1708" s="30"/>
      <c r="BC1708" s="33"/>
      <c r="BD1708" s="33"/>
      <c r="BE1708" s="33"/>
      <c r="BF1708" s="29"/>
      <c r="BG1708" s="29"/>
      <c r="BH1708" s="12"/>
      <c r="BI1708" s="12"/>
      <c r="BJ1708" s="12"/>
    </row>
    <row r="1709" spans="53:62" x14ac:dyDescent="0.25">
      <c r="BA1709" s="12"/>
      <c r="BB1709" s="30"/>
      <c r="BC1709" s="33"/>
      <c r="BD1709" s="33"/>
      <c r="BE1709" s="33"/>
      <c r="BF1709" s="29"/>
      <c r="BG1709" s="29"/>
      <c r="BH1709" s="12"/>
      <c r="BI1709" s="12"/>
      <c r="BJ1709" s="12"/>
    </row>
    <row r="1710" spans="53:62" x14ac:dyDescent="0.25">
      <c r="BA1710" s="12"/>
      <c r="BB1710" s="30"/>
      <c r="BC1710" s="33"/>
      <c r="BD1710" s="33"/>
      <c r="BE1710" s="33"/>
      <c r="BF1710" s="29"/>
      <c r="BG1710" s="29"/>
      <c r="BH1710" s="12"/>
      <c r="BI1710" s="12"/>
      <c r="BJ1710" s="12"/>
    </row>
    <row r="1711" spans="53:62" x14ac:dyDescent="0.25">
      <c r="BA1711" s="12"/>
      <c r="BB1711" s="30"/>
      <c r="BC1711" s="33"/>
      <c r="BD1711" s="33"/>
      <c r="BE1711" s="33"/>
      <c r="BF1711" s="29"/>
      <c r="BG1711" s="29"/>
      <c r="BH1711" s="12"/>
      <c r="BI1711" s="12"/>
      <c r="BJ1711" s="12"/>
    </row>
    <row r="1712" spans="53:62" x14ac:dyDescent="0.25">
      <c r="BA1712" s="12"/>
      <c r="BB1712" s="30"/>
      <c r="BC1712" s="33"/>
      <c r="BD1712" s="33"/>
      <c r="BE1712" s="33"/>
      <c r="BF1712" s="29"/>
      <c r="BG1712" s="29"/>
      <c r="BH1712" s="12"/>
      <c r="BI1712" s="12"/>
      <c r="BJ1712" s="12"/>
    </row>
    <row r="1713" spans="53:62" x14ac:dyDescent="0.25">
      <c r="BA1713" s="12"/>
      <c r="BB1713" s="30"/>
      <c r="BC1713" s="33"/>
      <c r="BD1713" s="33"/>
      <c r="BE1713" s="33"/>
      <c r="BF1713" s="29"/>
      <c r="BG1713" s="29"/>
      <c r="BH1713" s="12"/>
      <c r="BI1713" s="12"/>
      <c r="BJ1713" s="12"/>
    </row>
    <row r="1714" spans="53:62" x14ac:dyDescent="0.25">
      <c r="BA1714" s="12"/>
      <c r="BB1714" s="30"/>
      <c r="BC1714" s="33"/>
      <c r="BD1714" s="33"/>
      <c r="BE1714" s="33"/>
      <c r="BF1714" s="29"/>
      <c r="BG1714" s="29"/>
      <c r="BH1714" s="12"/>
      <c r="BI1714" s="12"/>
      <c r="BJ1714" s="12"/>
    </row>
    <row r="1715" spans="53:62" x14ac:dyDescent="0.25">
      <c r="BA1715" s="12"/>
      <c r="BB1715" s="30"/>
      <c r="BC1715" s="33"/>
      <c r="BD1715" s="33"/>
      <c r="BE1715" s="33"/>
      <c r="BF1715" s="29"/>
      <c r="BG1715" s="29"/>
      <c r="BH1715" s="12"/>
      <c r="BI1715" s="12"/>
      <c r="BJ1715" s="12"/>
    </row>
    <row r="1716" spans="53:62" x14ac:dyDescent="0.25">
      <c r="BA1716" s="12"/>
      <c r="BB1716" s="30"/>
      <c r="BC1716" s="33"/>
      <c r="BD1716" s="33"/>
      <c r="BE1716" s="33"/>
      <c r="BF1716" s="29"/>
      <c r="BG1716" s="29"/>
      <c r="BH1716" s="12"/>
      <c r="BI1716" s="12"/>
      <c r="BJ1716" s="12"/>
    </row>
    <row r="1717" spans="53:62" x14ac:dyDescent="0.25">
      <c r="BA1717" s="12"/>
      <c r="BB1717" s="30"/>
      <c r="BC1717" s="33"/>
      <c r="BD1717" s="33"/>
      <c r="BE1717" s="33"/>
      <c r="BF1717" s="29"/>
      <c r="BG1717" s="29"/>
      <c r="BH1717" s="12"/>
      <c r="BI1717" s="12"/>
      <c r="BJ1717" s="12"/>
    </row>
    <row r="1718" spans="53:62" x14ac:dyDescent="0.25">
      <c r="BA1718" s="12"/>
      <c r="BB1718" s="30"/>
      <c r="BC1718" s="33"/>
      <c r="BD1718" s="33"/>
      <c r="BE1718" s="33"/>
      <c r="BF1718" s="29"/>
      <c r="BG1718" s="29"/>
      <c r="BH1718" s="12"/>
      <c r="BI1718" s="12"/>
      <c r="BJ1718" s="12"/>
    </row>
    <row r="1719" spans="53:62" x14ac:dyDescent="0.25">
      <c r="BA1719" s="12"/>
      <c r="BB1719" s="30"/>
      <c r="BC1719" s="33"/>
      <c r="BD1719" s="33"/>
      <c r="BE1719" s="33"/>
      <c r="BF1719" s="29"/>
      <c r="BG1719" s="29"/>
      <c r="BH1719" s="12"/>
      <c r="BI1719" s="12"/>
      <c r="BJ1719" s="12"/>
    </row>
    <row r="1720" spans="53:62" x14ac:dyDescent="0.25">
      <c r="BA1720" s="12"/>
      <c r="BB1720" s="30"/>
      <c r="BC1720" s="33"/>
      <c r="BD1720" s="33"/>
      <c r="BE1720" s="33"/>
      <c r="BF1720" s="29"/>
      <c r="BG1720" s="29"/>
      <c r="BH1720" s="12"/>
      <c r="BI1720" s="12"/>
      <c r="BJ1720" s="12"/>
    </row>
    <row r="1721" spans="53:62" x14ac:dyDescent="0.25">
      <c r="BA1721" s="12"/>
      <c r="BB1721" s="30"/>
      <c r="BC1721" s="33"/>
      <c r="BD1721" s="33"/>
      <c r="BE1721" s="33"/>
      <c r="BF1721" s="29"/>
      <c r="BG1721" s="29"/>
      <c r="BH1721" s="12"/>
      <c r="BI1721" s="12"/>
      <c r="BJ1721" s="12"/>
    </row>
    <row r="1722" spans="53:62" x14ac:dyDescent="0.25">
      <c r="BA1722" s="12"/>
      <c r="BB1722" s="30"/>
      <c r="BC1722" s="33"/>
      <c r="BD1722" s="33"/>
      <c r="BE1722" s="33"/>
      <c r="BF1722" s="29"/>
      <c r="BG1722" s="29"/>
      <c r="BH1722" s="12"/>
      <c r="BI1722" s="12"/>
      <c r="BJ1722" s="12"/>
    </row>
    <row r="1723" spans="53:62" x14ac:dyDescent="0.25">
      <c r="BA1723" s="12"/>
      <c r="BB1723" s="30"/>
      <c r="BC1723" s="33"/>
      <c r="BD1723" s="33"/>
      <c r="BE1723" s="33"/>
      <c r="BF1723" s="29"/>
      <c r="BG1723" s="29"/>
      <c r="BH1723" s="12"/>
      <c r="BI1723" s="12"/>
      <c r="BJ1723" s="12"/>
    </row>
    <row r="1724" spans="53:62" x14ac:dyDescent="0.25">
      <c r="BA1724" s="12"/>
      <c r="BB1724" s="30"/>
      <c r="BC1724" s="33"/>
      <c r="BD1724" s="33"/>
      <c r="BE1724" s="33"/>
      <c r="BF1724" s="29"/>
      <c r="BG1724" s="29"/>
      <c r="BH1724" s="12"/>
      <c r="BI1724" s="12"/>
      <c r="BJ1724" s="12"/>
    </row>
    <row r="1725" spans="53:62" x14ac:dyDescent="0.25">
      <c r="BA1725" s="12"/>
      <c r="BB1725" s="30"/>
      <c r="BC1725" s="33"/>
      <c r="BD1725" s="33"/>
      <c r="BE1725" s="33"/>
      <c r="BF1725" s="29"/>
      <c r="BG1725" s="29"/>
      <c r="BH1725" s="12"/>
      <c r="BI1725" s="12"/>
      <c r="BJ1725" s="12"/>
    </row>
    <row r="1726" spans="53:62" x14ac:dyDescent="0.25">
      <c r="BA1726" s="12"/>
      <c r="BB1726" s="30"/>
      <c r="BC1726" s="33"/>
      <c r="BD1726" s="33"/>
      <c r="BE1726" s="33"/>
      <c r="BF1726" s="29"/>
      <c r="BG1726" s="29"/>
      <c r="BH1726" s="12"/>
      <c r="BI1726" s="12"/>
      <c r="BJ1726" s="12"/>
    </row>
    <row r="1727" spans="53:62" x14ac:dyDescent="0.25">
      <c r="BA1727" s="12"/>
      <c r="BB1727" s="30"/>
      <c r="BC1727" s="33"/>
      <c r="BD1727" s="33"/>
      <c r="BE1727" s="33"/>
      <c r="BF1727" s="29"/>
      <c r="BG1727" s="29"/>
      <c r="BH1727" s="12"/>
      <c r="BI1727" s="12"/>
      <c r="BJ1727" s="12"/>
    </row>
    <row r="1728" spans="53:62" x14ac:dyDescent="0.25">
      <c r="BA1728" s="12"/>
      <c r="BB1728" s="30"/>
      <c r="BC1728" s="33"/>
      <c r="BD1728" s="33"/>
      <c r="BE1728" s="33"/>
      <c r="BF1728" s="29"/>
      <c r="BG1728" s="29"/>
      <c r="BH1728" s="12"/>
      <c r="BI1728" s="12"/>
      <c r="BJ1728" s="12"/>
    </row>
    <row r="1729" spans="53:62" x14ac:dyDescent="0.25">
      <c r="BA1729" s="12"/>
      <c r="BB1729" s="30"/>
      <c r="BC1729" s="33"/>
      <c r="BD1729" s="33"/>
      <c r="BE1729" s="33"/>
      <c r="BF1729" s="29"/>
      <c r="BG1729" s="29"/>
      <c r="BH1729" s="12"/>
      <c r="BI1729" s="12"/>
      <c r="BJ1729" s="12"/>
    </row>
    <row r="1730" spans="53:62" x14ac:dyDescent="0.25">
      <c r="BA1730" s="12"/>
      <c r="BB1730" s="30"/>
      <c r="BC1730" s="33"/>
      <c r="BD1730" s="33"/>
      <c r="BE1730" s="33"/>
      <c r="BF1730" s="29"/>
      <c r="BG1730" s="29"/>
      <c r="BH1730" s="12"/>
      <c r="BI1730" s="12"/>
      <c r="BJ1730" s="12"/>
    </row>
    <row r="1731" spans="53:62" x14ac:dyDescent="0.25">
      <c r="BA1731" s="12"/>
      <c r="BB1731" s="30"/>
      <c r="BC1731" s="33"/>
      <c r="BD1731" s="33"/>
      <c r="BE1731" s="33"/>
      <c r="BF1731" s="29"/>
      <c r="BG1731" s="29"/>
      <c r="BH1731" s="12"/>
      <c r="BI1731" s="12"/>
      <c r="BJ1731" s="12"/>
    </row>
    <row r="1732" spans="53:62" x14ac:dyDescent="0.25">
      <c r="BA1732" s="12"/>
      <c r="BB1732" s="30"/>
      <c r="BC1732" s="33"/>
      <c r="BD1732" s="33"/>
      <c r="BE1732" s="33"/>
      <c r="BF1732" s="29"/>
      <c r="BG1732" s="29"/>
      <c r="BH1732" s="12"/>
      <c r="BI1732" s="12"/>
      <c r="BJ1732" s="12"/>
    </row>
    <row r="1733" spans="53:62" x14ac:dyDescent="0.25">
      <c r="BA1733" s="12"/>
      <c r="BB1733" s="30"/>
      <c r="BC1733" s="33"/>
      <c r="BD1733" s="33"/>
      <c r="BE1733" s="33"/>
      <c r="BF1733" s="29"/>
      <c r="BG1733" s="29"/>
      <c r="BH1733" s="12"/>
      <c r="BI1733" s="12"/>
      <c r="BJ1733" s="12"/>
    </row>
    <row r="1734" spans="53:62" x14ac:dyDescent="0.25">
      <c r="BA1734" s="12"/>
      <c r="BB1734" s="30"/>
      <c r="BC1734" s="33"/>
      <c r="BD1734" s="33"/>
      <c r="BE1734" s="33"/>
      <c r="BF1734" s="29"/>
      <c r="BG1734" s="29"/>
      <c r="BH1734" s="12"/>
      <c r="BI1734" s="12"/>
      <c r="BJ1734" s="12"/>
    </row>
    <row r="1735" spans="53:62" x14ac:dyDescent="0.25">
      <c r="BA1735" s="12"/>
      <c r="BB1735" s="30"/>
      <c r="BC1735" s="33"/>
      <c r="BD1735" s="33"/>
      <c r="BE1735" s="33"/>
      <c r="BF1735" s="29"/>
      <c r="BG1735" s="29"/>
      <c r="BH1735" s="12"/>
      <c r="BI1735" s="12"/>
      <c r="BJ1735" s="12"/>
    </row>
    <row r="1736" spans="53:62" x14ac:dyDescent="0.25">
      <c r="BA1736" s="12"/>
      <c r="BB1736" s="30"/>
      <c r="BC1736" s="33"/>
      <c r="BD1736" s="33"/>
      <c r="BE1736" s="33"/>
      <c r="BF1736" s="29"/>
      <c r="BG1736" s="29"/>
      <c r="BH1736" s="12"/>
      <c r="BI1736" s="12"/>
      <c r="BJ1736" s="12"/>
    </row>
    <row r="1737" spans="53:62" x14ac:dyDescent="0.25">
      <c r="BA1737" s="12"/>
      <c r="BB1737" s="30"/>
      <c r="BC1737" s="33"/>
      <c r="BD1737" s="33"/>
      <c r="BE1737" s="33"/>
      <c r="BF1737" s="29"/>
      <c r="BG1737" s="29"/>
      <c r="BH1737" s="12"/>
      <c r="BI1737" s="12"/>
      <c r="BJ1737" s="12"/>
    </row>
    <row r="1738" spans="53:62" x14ac:dyDescent="0.25">
      <c r="BA1738" s="12"/>
      <c r="BB1738" s="30"/>
      <c r="BC1738" s="33"/>
      <c r="BD1738" s="33"/>
      <c r="BE1738" s="33"/>
      <c r="BF1738" s="29"/>
      <c r="BG1738" s="29"/>
      <c r="BH1738" s="12"/>
      <c r="BI1738" s="12"/>
      <c r="BJ1738" s="12"/>
    </row>
    <row r="1739" spans="53:62" x14ac:dyDescent="0.25">
      <c r="BA1739" s="12"/>
      <c r="BB1739" s="30"/>
      <c r="BC1739" s="33"/>
      <c r="BD1739" s="33"/>
      <c r="BE1739" s="33"/>
      <c r="BF1739" s="29"/>
      <c r="BG1739" s="29"/>
      <c r="BH1739" s="12"/>
      <c r="BI1739" s="12"/>
      <c r="BJ1739" s="12"/>
    </row>
    <row r="1740" spans="53:62" x14ac:dyDescent="0.25">
      <c r="BA1740" s="12"/>
      <c r="BB1740" s="30"/>
      <c r="BC1740" s="33"/>
      <c r="BD1740" s="33"/>
      <c r="BE1740" s="33"/>
      <c r="BF1740" s="29"/>
      <c r="BG1740" s="29"/>
      <c r="BH1740" s="12"/>
      <c r="BI1740" s="12"/>
      <c r="BJ1740" s="12"/>
    </row>
    <row r="1741" spans="53:62" x14ac:dyDescent="0.25">
      <c r="BA1741" s="12"/>
      <c r="BB1741" s="30"/>
      <c r="BC1741" s="33"/>
      <c r="BD1741" s="33"/>
      <c r="BE1741" s="33"/>
      <c r="BF1741" s="29"/>
      <c r="BG1741" s="29"/>
      <c r="BH1741" s="12"/>
      <c r="BI1741" s="12"/>
      <c r="BJ1741" s="12"/>
    </row>
    <row r="1742" spans="53:62" x14ac:dyDescent="0.25">
      <c r="BA1742" s="12"/>
      <c r="BB1742" s="30"/>
      <c r="BC1742" s="33"/>
      <c r="BD1742" s="33"/>
      <c r="BE1742" s="33"/>
      <c r="BF1742" s="29"/>
      <c r="BG1742" s="29"/>
      <c r="BH1742" s="12"/>
      <c r="BI1742" s="12"/>
      <c r="BJ1742" s="12"/>
    </row>
    <row r="1743" spans="53:62" x14ac:dyDescent="0.25">
      <c r="BA1743" s="12"/>
      <c r="BB1743" s="30"/>
      <c r="BC1743" s="33"/>
      <c r="BD1743" s="33"/>
      <c r="BE1743" s="33"/>
      <c r="BF1743" s="29"/>
      <c r="BG1743" s="29"/>
      <c r="BH1743" s="12"/>
      <c r="BI1743" s="12"/>
      <c r="BJ1743" s="12"/>
    </row>
    <row r="1744" spans="53:62" x14ac:dyDescent="0.25">
      <c r="BA1744" s="12"/>
      <c r="BB1744" s="30"/>
      <c r="BC1744" s="33"/>
      <c r="BD1744" s="33"/>
      <c r="BE1744" s="33"/>
      <c r="BF1744" s="29"/>
      <c r="BG1744" s="29"/>
      <c r="BH1744" s="12"/>
      <c r="BI1744" s="12"/>
      <c r="BJ1744" s="12"/>
    </row>
    <row r="1745" spans="53:62" x14ac:dyDescent="0.25">
      <c r="BA1745" s="12"/>
      <c r="BB1745" s="30"/>
      <c r="BC1745" s="33"/>
      <c r="BD1745" s="33"/>
      <c r="BE1745" s="33"/>
      <c r="BF1745" s="29"/>
      <c r="BG1745" s="29"/>
      <c r="BH1745" s="12"/>
      <c r="BI1745" s="12"/>
      <c r="BJ1745" s="12"/>
    </row>
    <row r="1746" spans="53:62" x14ac:dyDescent="0.25">
      <c r="BA1746" s="12"/>
      <c r="BB1746" s="30"/>
      <c r="BC1746" s="33"/>
      <c r="BD1746" s="33"/>
      <c r="BE1746" s="33"/>
      <c r="BF1746" s="29"/>
      <c r="BG1746" s="29"/>
      <c r="BH1746" s="12"/>
      <c r="BI1746" s="12"/>
      <c r="BJ1746" s="12"/>
    </row>
    <row r="1747" spans="53:62" x14ac:dyDescent="0.25">
      <c r="BA1747" s="12"/>
      <c r="BB1747" s="30"/>
      <c r="BC1747" s="33"/>
      <c r="BD1747" s="33"/>
      <c r="BE1747" s="33"/>
      <c r="BF1747" s="29"/>
      <c r="BG1747" s="29"/>
      <c r="BH1747" s="12"/>
      <c r="BI1747" s="12"/>
      <c r="BJ1747" s="12"/>
    </row>
    <row r="1748" spans="53:62" x14ac:dyDescent="0.25">
      <c r="BA1748" s="12"/>
      <c r="BB1748" s="30"/>
      <c r="BC1748" s="33"/>
      <c r="BD1748" s="33"/>
      <c r="BE1748" s="33"/>
      <c r="BF1748" s="29"/>
      <c r="BG1748" s="29"/>
      <c r="BH1748" s="12"/>
      <c r="BI1748" s="12"/>
      <c r="BJ1748" s="12"/>
    </row>
    <row r="1749" spans="53:62" x14ac:dyDescent="0.25">
      <c r="BA1749" s="12"/>
      <c r="BB1749" s="30"/>
      <c r="BC1749" s="33"/>
      <c r="BD1749" s="33"/>
      <c r="BE1749" s="33"/>
      <c r="BF1749" s="29"/>
      <c r="BG1749" s="29"/>
      <c r="BH1749" s="12"/>
      <c r="BI1749" s="12"/>
      <c r="BJ1749" s="12"/>
    </row>
    <row r="1750" spans="53:62" x14ac:dyDescent="0.25">
      <c r="BA1750" s="12"/>
      <c r="BB1750" s="30"/>
      <c r="BC1750" s="33"/>
      <c r="BD1750" s="33"/>
      <c r="BE1750" s="33"/>
      <c r="BF1750" s="29"/>
      <c r="BG1750" s="29"/>
      <c r="BH1750" s="12"/>
      <c r="BI1750" s="12"/>
      <c r="BJ1750" s="12"/>
    </row>
    <row r="1751" spans="53:62" x14ac:dyDescent="0.25">
      <c r="BA1751" s="12"/>
      <c r="BB1751" s="30"/>
      <c r="BC1751" s="33"/>
      <c r="BD1751" s="33"/>
      <c r="BE1751" s="33"/>
      <c r="BF1751" s="29"/>
      <c r="BG1751" s="29"/>
      <c r="BH1751" s="12"/>
      <c r="BI1751" s="12"/>
      <c r="BJ1751" s="12"/>
    </row>
    <row r="1752" spans="53:62" x14ac:dyDescent="0.25">
      <c r="BA1752" s="12"/>
      <c r="BB1752" s="30"/>
      <c r="BC1752" s="33"/>
      <c r="BD1752" s="33"/>
      <c r="BE1752" s="33"/>
      <c r="BF1752" s="29"/>
      <c r="BG1752" s="29"/>
      <c r="BH1752" s="12"/>
      <c r="BI1752" s="12"/>
      <c r="BJ1752" s="12"/>
    </row>
    <row r="1753" spans="53:62" x14ac:dyDescent="0.25">
      <c r="BA1753" s="12"/>
      <c r="BB1753" s="30"/>
      <c r="BC1753" s="33"/>
      <c r="BD1753" s="33"/>
      <c r="BE1753" s="33"/>
      <c r="BF1753" s="29"/>
      <c r="BG1753" s="29"/>
      <c r="BH1753" s="12"/>
      <c r="BI1753" s="12"/>
      <c r="BJ1753" s="12"/>
    </row>
    <row r="1754" spans="53:62" x14ac:dyDescent="0.25">
      <c r="BA1754" s="12"/>
      <c r="BB1754" s="30"/>
      <c r="BC1754" s="33"/>
      <c r="BD1754" s="33"/>
      <c r="BE1754" s="33"/>
      <c r="BF1754" s="29"/>
      <c r="BG1754" s="29"/>
      <c r="BH1754" s="12"/>
      <c r="BI1754" s="12"/>
      <c r="BJ1754" s="12"/>
    </row>
    <row r="1755" spans="53:62" x14ac:dyDescent="0.25">
      <c r="BA1755" s="12"/>
      <c r="BB1755" s="30"/>
      <c r="BC1755" s="33"/>
      <c r="BD1755" s="33"/>
      <c r="BE1755" s="33"/>
      <c r="BF1755" s="29"/>
      <c r="BG1755" s="29"/>
      <c r="BH1755" s="12"/>
      <c r="BI1755" s="12"/>
      <c r="BJ1755" s="12"/>
    </row>
    <row r="1756" spans="53:62" x14ac:dyDescent="0.25">
      <c r="BA1756" s="12"/>
      <c r="BB1756" s="30"/>
      <c r="BC1756" s="33"/>
      <c r="BD1756" s="33"/>
      <c r="BE1756" s="33"/>
      <c r="BF1756" s="29"/>
      <c r="BG1756" s="29"/>
      <c r="BH1756" s="12"/>
      <c r="BI1756" s="12"/>
      <c r="BJ1756" s="12"/>
    </row>
    <row r="1757" spans="53:62" x14ac:dyDescent="0.25">
      <c r="BA1757" s="12"/>
      <c r="BB1757" s="30"/>
      <c r="BC1757" s="33"/>
      <c r="BD1757" s="33"/>
      <c r="BE1757" s="33"/>
      <c r="BF1757" s="29"/>
      <c r="BG1757" s="29"/>
      <c r="BH1757" s="12"/>
      <c r="BI1757" s="12"/>
      <c r="BJ1757" s="12"/>
    </row>
    <row r="1758" spans="53:62" x14ac:dyDescent="0.25">
      <c r="BA1758" s="12"/>
      <c r="BB1758" s="30"/>
      <c r="BC1758" s="33"/>
      <c r="BD1758" s="33"/>
      <c r="BE1758" s="33"/>
      <c r="BF1758" s="29"/>
      <c r="BG1758" s="29"/>
      <c r="BH1758" s="12"/>
      <c r="BI1758" s="12"/>
      <c r="BJ1758" s="12"/>
    </row>
    <row r="1759" spans="53:62" x14ac:dyDescent="0.25">
      <c r="BA1759" s="12"/>
      <c r="BB1759" s="30"/>
      <c r="BC1759" s="33"/>
      <c r="BD1759" s="33"/>
      <c r="BE1759" s="33"/>
      <c r="BF1759" s="29"/>
      <c r="BG1759" s="29"/>
      <c r="BH1759" s="12"/>
      <c r="BI1759" s="12"/>
      <c r="BJ1759" s="12"/>
    </row>
    <row r="1760" spans="53:62" x14ac:dyDescent="0.25">
      <c r="BA1760" s="12"/>
      <c r="BB1760" s="30"/>
      <c r="BC1760" s="33"/>
      <c r="BD1760" s="33"/>
      <c r="BE1760" s="33"/>
      <c r="BF1760" s="29"/>
      <c r="BG1760" s="29"/>
      <c r="BH1760" s="12"/>
      <c r="BI1760" s="12"/>
      <c r="BJ1760" s="12"/>
    </row>
    <row r="1761" spans="53:62" x14ac:dyDescent="0.25">
      <c r="BA1761" s="12"/>
      <c r="BB1761" s="30"/>
      <c r="BC1761" s="33"/>
      <c r="BD1761" s="33"/>
      <c r="BE1761" s="33"/>
      <c r="BF1761" s="29"/>
      <c r="BG1761" s="29"/>
      <c r="BH1761" s="12"/>
      <c r="BI1761" s="12"/>
      <c r="BJ1761" s="12"/>
    </row>
    <row r="1762" spans="53:62" x14ac:dyDescent="0.25">
      <c r="BA1762" s="12"/>
      <c r="BB1762" s="30"/>
      <c r="BC1762" s="33"/>
      <c r="BD1762" s="33"/>
      <c r="BE1762" s="33"/>
      <c r="BF1762" s="29"/>
      <c r="BG1762" s="29"/>
      <c r="BH1762" s="12"/>
      <c r="BI1762" s="12"/>
      <c r="BJ1762" s="12"/>
    </row>
    <row r="1763" spans="53:62" x14ac:dyDescent="0.25">
      <c r="BA1763" s="12"/>
      <c r="BB1763" s="30"/>
      <c r="BC1763" s="33"/>
      <c r="BD1763" s="33"/>
      <c r="BE1763" s="33"/>
      <c r="BF1763" s="29"/>
      <c r="BG1763" s="29"/>
      <c r="BH1763" s="12"/>
      <c r="BI1763" s="12"/>
      <c r="BJ1763" s="12"/>
    </row>
    <row r="1764" spans="53:62" x14ac:dyDescent="0.25">
      <c r="BA1764" s="12"/>
      <c r="BB1764" s="30"/>
      <c r="BC1764" s="33"/>
      <c r="BD1764" s="33"/>
      <c r="BE1764" s="33"/>
      <c r="BF1764" s="29"/>
      <c r="BG1764" s="29"/>
      <c r="BH1764" s="12"/>
      <c r="BI1764" s="12"/>
      <c r="BJ1764" s="12"/>
    </row>
    <row r="1765" spans="53:62" x14ac:dyDescent="0.25">
      <c r="BA1765" s="12"/>
      <c r="BB1765" s="30"/>
      <c r="BC1765" s="33"/>
      <c r="BD1765" s="33"/>
      <c r="BE1765" s="33"/>
      <c r="BF1765" s="29"/>
      <c r="BG1765" s="29"/>
      <c r="BH1765" s="12"/>
      <c r="BI1765" s="12"/>
      <c r="BJ1765" s="12"/>
    </row>
    <row r="1766" spans="53:62" x14ac:dyDescent="0.25">
      <c r="BA1766" s="12"/>
      <c r="BB1766" s="30"/>
      <c r="BC1766" s="33"/>
      <c r="BD1766" s="33"/>
      <c r="BE1766" s="33"/>
      <c r="BF1766" s="29"/>
      <c r="BG1766" s="29"/>
      <c r="BH1766" s="12"/>
      <c r="BI1766" s="12"/>
      <c r="BJ1766" s="12"/>
    </row>
    <row r="1767" spans="53:62" x14ac:dyDescent="0.25">
      <c r="BA1767" s="12"/>
      <c r="BB1767" s="30"/>
      <c r="BC1767" s="33"/>
      <c r="BD1767" s="33"/>
      <c r="BE1767" s="33"/>
      <c r="BF1767" s="29"/>
      <c r="BG1767" s="29"/>
      <c r="BH1767" s="12"/>
      <c r="BI1767" s="12"/>
      <c r="BJ1767" s="12"/>
    </row>
    <row r="1768" spans="53:62" x14ac:dyDescent="0.25">
      <c r="BA1768" s="12"/>
      <c r="BB1768" s="30"/>
      <c r="BC1768" s="33"/>
      <c r="BD1768" s="33"/>
      <c r="BE1768" s="33"/>
      <c r="BF1768" s="29"/>
      <c r="BG1768" s="29"/>
      <c r="BH1768" s="12"/>
      <c r="BI1768" s="12"/>
      <c r="BJ1768" s="12"/>
    </row>
    <row r="1769" spans="53:62" x14ac:dyDescent="0.25">
      <c r="BA1769" s="12"/>
      <c r="BB1769" s="30"/>
      <c r="BC1769" s="33"/>
      <c r="BD1769" s="33"/>
      <c r="BE1769" s="33"/>
      <c r="BF1769" s="29"/>
      <c r="BG1769" s="29"/>
      <c r="BH1769" s="12"/>
      <c r="BI1769" s="12"/>
      <c r="BJ1769" s="12"/>
    </row>
    <row r="1770" spans="53:62" x14ac:dyDescent="0.25">
      <c r="BA1770" s="12"/>
      <c r="BB1770" s="30"/>
      <c r="BC1770" s="33"/>
      <c r="BD1770" s="33"/>
      <c r="BE1770" s="33"/>
      <c r="BF1770" s="29"/>
      <c r="BG1770" s="29"/>
      <c r="BH1770" s="12"/>
      <c r="BI1770" s="12"/>
      <c r="BJ1770" s="12"/>
    </row>
    <row r="1771" spans="53:62" x14ac:dyDescent="0.25">
      <c r="BA1771" s="12"/>
      <c r="BB1771" s="30"/>
      <c r="BC1771" s="33"/>
      <c r="BD1771" s="33"/>
      <c r="BE1771" s="33"/>
      <c r="BF1771" s="29"/>
      <c r="BG1771" s="29"/>
      <c r="BH1771" s="12"/>
      <c r="BI1771" s="12"/>
      <c r="BJ1771" s="12"/>
    </row>
    <row r="1772" spans="53:62" x14ac:dyDescent="0.25">
      <c r="BA1772" s="12"/>
      <c r="BB1772" s="30"/>
      <c r="BC1772" s="33"/>
      <c r="BD1772" s="33"/>
      <c r="BE1772" s="33"/>
      <c r="BF1772" s="29"/>
      <c r="BG1772" s="29"/>
      <c r="BH1772" s="12"/>
      <c r="BI1772" s="12"/>
      <c r="BJ1772" s="12"/>
    </row>
    <row r="1773" spans="53:62" x14ac:dyDescent="0.25">
      <c r="BA1773" s="12"/>
      <c r="BB1773" s="30"/>
      <c r="BC1773" s="33"/>
      <c r="BD1773" s="33"/>
      <c r="BE1773" s="33"/>
      <c r="BF1773" s="29"/>
      <c r="BG1773" s="29"/>
      <c r="BH1773" s="12"/>
      <c r="BI1773" s="12"/>
      <c r="BJ1773" s="12"/>
    </row>
    <row r="1774" spans="53:62" x14ac:dyDescent="0.25">
      <c r="BA1774" s="12"/>
      <c r="BB1774" s="30"/>
      <c r="BC1774" s="33"/>
      <c r="BD1774" s="33"/>
      <c r="BE1774" s="33"/>
      <c r="BF1774" s="29"/>
      <c r="BG1774" s="29"/>
      <c r="BH1774" s="12"/>
      <c r="BI1774" s="12"/>
      <c r="BJ1774" s="12"/>
    </row>
    <row r="1775" spans="53:62" x14ac:dyDescent="0.25">
      <c r="BA1775" s="12"/>
      <c r="BB1775" s="30"/>
      <c r="BC1775" s="33"/>
      <c r="BD1775" s="33"/>
      <c r="BE1775" s="33"/>
      <c r="BF1775" s="29"/>
      <c r="BG1775" s="29"/>
      <c r="BH1775" s="12"/>
      <c r="BI1775" s="12"/>
      <c r="BJ1775" s="12"/>
    </row>
    <row r="1776" spans="53:62" x14ac:dyDescent="0.25">
      <c r="BA1776" s="12"/>
      <c r="BB1776" s="30"/>
      <c r="BC1776" s="33"/>
      <c r="BD1776" s="33"/>
      <c r="BE1776" s="33"/>
      <c r="BF1776" s="29"/>
      <c r="BG1776" s="29"/>
      <c r="BH1776" s="12"/>
      <c r="BI1776" s="12"/>
      <c r="BJ1776" s="12"/>
    </row>
    <row r="1777" spans="53:62" x14ac:dyDescent="0.25">
      <c r="BA1777" s="12"/>
      <c r="BB1777" s="30"/>
      <c r="BC1777" s="33"/>
      <c r="BD1777" s="33"/>
      <c r="BE1777" s="33"/>
      <c r="BF1777" s="29"/>
      <c r="BG1777" s="29"/>
      <c r="BH1777" s="12"/>
      <c r="BI1777" s="12"/>
      <c r="BJ1777" s="12"/>
    </row>
    <row r="1778" spans="53:62" x14ac:dyDescent="0.25">
      <c r="BA1778" s="12"/>
      <c r="BB1778" s="30"/>
      <c r="BC1778" s="33"/>
      <c r="BD1778" s="33"/>
      <c r="BE1778" s="33"/>
      <c r="BF1778" s="29"/>
      <c r="BG1778" s="29"/>
      <c r="BH1778" s="12"/>
      <c r="BI1778" s="12"/>
      <c r="BJ1778" s="12"/>
    </row>
    <row r="1779" spans="53:62" x14ac:dyDescent="0.25">
      <c r="BA1779" s="12"/>
      <c r="BB1779" s="30"/>
      <c r="BC1779" s="33"/>
      <c r="BD1779" s="33"/>
      <c r="BE1779" s="33"/>
      <c r="BF1779" s="29"/>
      <c r="BG1779" s="29"/>
      <c r="BH1779" s="12"/>
      <c r="BI1779" s="12"/>
      <c r="BJ1779" s="12"/>
    </row>
    <row r="1780" spans="53:62" x14ac:dyDescent="0.25">
      <c r="BA1780" s="12"/>
      <c r="BB1780" s="30"/>
      <c r="BC1780" s="33"/>
      <c r="BD1780" s="33"/>
      <c r="BE1780" s="33"/>
      <c r="BF1780" s="29"/>
      <c r="BG1780" s="29"/>
      <c r="BH1780" s="12"/>
      <c r="BI1780" s="12"/>
      <c r="BJ1780" s="12"/>
    </row>
    <row r="1781" spans="53:62" x14ac:dyDescent="0.25">
      <c r="BA1781" s="12"/>
      <c r="BB1781" s="30"/>
      <c r="BC1781" s="33"/>
      <c r="BD1781" s="33"/>
      <c r="BE1781" s="33"/>
      <c r="BF1781" s="29"/>
      <c r="BG1781" s="29"/>
      <c r="BH1781" s="12"/>
      <c r="BI1781" s="12"/>
      <c r="BJ1781" s="12"/>
    </row>
    <row r="1782" spans="53:62" x14ac:dyDescent="0.25">
      <c r="BA1782" s="12"/>
      <c r="BB1782" s="30"/>
      <c r="BC1782" s="33"/>
      <c r="BD1782" s="33"/>
      <c r="BE1782" s="33"/>
      <c r="BF1782" s="29"/>
      <c r="BG1782" s="29"/>
      <c r="BH1782" s="12"/>
      <c r="BI1782" s="12"/>
      <c r="BJ1782" s="12"/>
    </row>
    <row r="1783" spans="53:62" x14ac:dyDescent="0.25">
      <c r="BA1783" s="12"/>
      <c r="BB1783" s="30"/>
      <c r="BC1783" s="33"/>
      <c r="BD1783" s="33"/>
      <c r="BE1783" s="33"/>
      <c r="BF1783" s="29"/>
      <c r="BG1783" s="29"/>
      <c r="BH1783" s="12"/>
      <c r="BI1783" s="12"/>
      <c r="BJ1783" s="12"/>
    </row>
    <row r="1784" spans="53:62" x14ac:dyDescent="0.25">
      <c r="BA1784" s="12"/>
      <c r="BB1784" s="30"/>
      <c r="BC1784" s="33"/>
      <c r="BD1784" s="33"/>
      <c r="BE1784" s="33"/>
      <c r="BF1784" s="29"/>
      <c r="BG1784" s="29"/>
      <c r="BH1784" s="12"/>
      <c r="BI1784" s="12"/>
      <c r="BJ1784" s="12"/>
    </row>
    <row r="1785" spans="53:62" x14ac:dyDescent="0.25">
      <c r="BA1785" s="12"/>
      <c r="BB1785" s="30"/>
      <c r="BC1785" s="33"/>
      <c r="BD1785" s="33"/>
      <c r="BE1785" s="33"/>
      <c r="BF1785" s="29"/>
      <c r="BG1785" s="29"/>
      <c r="BH1785" s="12"/>
      <c r="BI1785" s="12"/>
      <c r="BJ1785" s="12"/>
    </row>
    <row r="1786" spans="53:62" x14ac:dyDescent="0.25">
      <c r="BA1786" s="12"/>
      <c r="BB1786" s="30"/>
      <c r="BC1786" s="33"/>
      <c r="BD1786" s="33"/>
      <c r="BE1786" s="33"/>
      <c r="BF1786" s="29"/>
      <c r="BG1786" s="29"/>
      <c r="BH1786" s="12"/>
      <c r="BI1786" s="12"/>
      <c r="BJ1786" s="12"/>
    </row>
    <row r="1787" spans="53:62" x14ac:dyDescent="0.25">
      <c r="BA1787" s="12"/>
      <c r="BB1787" s="30"/>
      <c r="BC1787" s="33"/>
      <c r="BD1787" s="33"/>
      <c r="BE1787" s="33"/>
      <c r="BF1787" s="29"/>
      <c r="BG1787" s="29"/>
      <c r="BH1787" s="12"/>
      <c r="BI1787" s="12"/>
      <c r="BJ1787" s="12"/>
    </row>
    <row r="1788" spans="53:62" x14ac:dyDescent="0.25">
      <c r="BA1788" s="12"/>
      <c r="BB1788" s="30"/>
      <c r="BC1788" s="33"/>
      <c r="BD1788" s="33"/>
      <c r="BE1788" s="33"/>
      <c r="BF1788" s="29"/>
      <c r="BG1788" s="29"/>
      <c r="BH1788" s="12"/>
      <c r="BI1788" s="12"/>
      <c r="BJ1788" s="12"/>
    </row>
    <row r="1789" spans="53:62" x14ac:dyDescent="0.25">
      <c r="BA1789" s="12"/>
      <c r="BB1789" s="30"/>
      <c r="BC1789" s="33"/>
      <c r="BD1789" s="33"/>
      <c r="BE1789" s="33"/>
      <c r="BF1789" s="29"/>
      <c r="BG1789" s="29"/>
      <c r="BH1789" s="12"/>
      <c r="BI1789" s="12"/>
      <c r="BJ1789" s="12"/>
    </row>
    <row r="1790" spans="53:62" x14ac:dyDescent="0.25">
      <c r="BA1790" s="12"/>
      <c r="BB1790" s="30"/>
      <c r="BC1790" s="33"/>
      <c r="BD1790" s="33"/>
      <c r="BE1790" s="33"/>
      <c r="BF1790" s="29"/>
      <c r="BG1790" s="29"/>
      <c r="BH1790" s="12"/>
      <c r="BI1790" s="12"/>
      <c r="BJ1790" s="12"/>
    </row>
    <row r="1791" spans="53:62" x14ac:dyDescent="0.25">
      <c r="BA1791" s="12"/>
      <c r="BB1791" s="30"/>
      <c r="BC1791" s="33"/>
      <c r="BD1791" s="33"/>
      <c r="BE1791" s="33"/>
      <c r="BF1791" s="29"/>
      <c r="BG1791" s="29"/>
      <c r="BH1791" s="12"/>
      <c r="BI1791" s="12"/>
      <c r="BJ1791" s="12"/>
    </row>
    <row r="1792" spans="53:62" x14ac:dyDescent="0.25">
      <c r="BA1792" s="12"/>
      <c r="BB1792" s="30"/>
      <c r="BC1792" s="33"/>
      <c r="BD1792" s="33"/>
      <c r="BE1792" s="33"/>
      <c r="BF1792" s="29"/>
      <c r="BG1792" s="29"/>
      <c r="BH1792" s="12"/>
      <c r="BI1792" s="12"/>
      <c r="BJ1792" s="12"/>
    </row>
    <row r="1793" spans="53:62" x14ac:dyDescent="0.25">
      <c r="BA1793" s="12"/>
      <c r="BB1793" s="30"/>
      <c r="BC1793" s="33"/>
      <c r="BD1793" s="33"/>
      <c r="BE1793" s="33"/>
      <c r="BF1793" s="29"/>
      <c r="BG1793" s="29"/>
      <c r="BH1793" s="12"/>
      <c r="BI1793" s="12"/>
      <c r="BJ1793" s="12"/>
    </row>
    <row r="1794" spans="53:62" x14ac:dyDescent="0.25">
      <c r="BA1794" s="12"/>
      <c r="BB1794" s="30"/>
      <c r="BC1794" s="33"/>
      <c r="BD1794" s="33"/>
      <c r="BE1794" s="33"/>
      <c r="BF1794" s="29"/>
      <c r="BG1794" s="29"/>
      <c r="BH1794" s="12"/>
      <c r="BI1794" s="12"/>
      <c r="BJ1794" s="12"/>
    </row>
    <row r="1795" spans="53:62" x14ac:dyDescent="0.25">
      <c r="BA1795" s="12"/>
      <c r="BB1795" s="30"/>
      <c r="BC1795" s="33"/>
      <c r="BD1795" s="33"/>
      <c r="BE1795" s="33"/>
      <c r="BF1795" s="29"/>
      <c r="BG1795" s="29"/>
      <c r="BH1795" s="12"/>
      <c r="BI1795" s="12"/>
      <c r="BJ1795" s="12"/>
    </row>
    <row r="1796" spans="53:62" x14ac:dyDescent="0.25">
      <c r="BA1796" s="12"/>
      <c r="BB1796" s="30"/>
      <c r="BC1796" s="33"/>
      <c r="BD1796" s="33"/>
      <c r="BE1796" s="33"/>
      <c r="BF1796" s="29"/>
      <c r="BG1796" s="29"/>
      <c r="BH1796" s="12"/>
      <c r="BI1796" s="12"/>
      <c r="BJ1796" s="12"/>
    </row>
    <row r="1797" spans="53:62" x14ac:dyDescent="0.25">
      <c r="BA1797" s="12"/>
      <c r="BB1797" s="30"/>
      <c r="BC1797" s="33"/>
      <c r="BD1797" s="33"/>
      <c r="BE1797" s="33"/>
      <c r="BF1797" s="29"/>
      <c r="BG1797" s="29"/>
      <c r="BH1797" s="12"/>
      <c r="BI1797" s="12"/>
      <c r="BJ1797" s="12"/>
    </row>
    <row r="1798" spans="53:62" x14ac:dyDescent="0.25">
      <c r="BA1798" s="12"/>
      <c r="BB1798" s="30"/>
      <c r="BC1798" s="33"/>
      <c r="BD1798" s="33"/>
      <c r="BE1798" s="33"/>
      <c r="BF1798" s="29"/>
      <c r="BG1798" s="29"/>
      <c r="BH1798" s="12"/>
      <c r="BI1798" s="12"/>
      <c r="BJ1798" s="12"/>
    </row>
    <row r="1799" spans="53:62" x14ac:dyDescent="0.25">
      <c r="BA1799" s="12"/>
      <c r="BB1799" s="30"/>
      <c r="BC1799" s="33"/>
      <c r="BD1799" s="33"/>
      <c r="BE1799" s="33"/>
      <c r="BF1799" s="29"/>
      <c r="BG1799" s="29"/>
      <c r="BH1799" s="12"/>
      <c r="BI1799" s="12"/>
      <c r="BJ1799" s="12"/>
    </row>
    <row r="1800" spans="53:62" x14ac:dyDescent="0.25">
      <c r="BA1800" s="12"/>
      <c r="BB1800" s="30"/>
      <c r="BC1800" s="33"/>
      <c r="BD1800" s="33"/>
      <c r="BE1800" s="33"/>
      <c r="BF1800" s="29"/>
      <c r="BG1800" s="29"/>
      <c r="BH1800" s="12"/>
      <c r="BI1800" s="12"/>
      <c r="BJ1800" s="12"/>
    </row>
    <row r="1801" spans="53:62" x14ac:dyDescent="0.25">
      <c r="BA1801" s="12"/>
      <c r="BB1801" s="30"/>
      <c r="BC1801" s="33"/>
      <c r="BD1801" s="33"/>
      <c r="BE1801" s="33"/>
      <c r="BF1801" s="29"/>
      <c r="BG1801" s="29"/>
      <c r="BH1801" s="12"/>
      <c r="BI1801" s="12"/>
      <c r="BJ1801" s="12"/>
    </row>
    <row r="1802" spans="53:62" x14ac:dyDescent="0.25">
      <c r="BA1802" s="12"/>
      <c r="BB1802" s="30"/>
      <c r="BC1802" s="33"/>
      <c r="BD1802" s="33"/>
      <c r="BE1802" s="33"/>
      <c r="BF1802" s="29"/>
      <c r="BG1802" s="29"/>
      <c r="BH1802" s="12"/>
      <c r="BI1802" s="12"/>
      <c r="BJ1802" s="12"/>
    </row>
    <row r="1803" spans="53:62" x14ac:dyDescent="0.25">
      <c r="BA1803" s="12"/>
      <c r="BB1803" s="30"/>
      <c r="BC1803" s="33"/>
      <c r="BD1803" s="33"/>
      <c r="BE1803" s="33"/>
      <c r="BF1803" s="29"/>
      <c r="BG1803" s="29"/>
      <c r="BH1803" s="12"/>
      <c r="BI1803" s="12"/>
      <c r="BJ1803" s="12"/>
    </row>
    <row r="1804" spans="53:62" x14ac:dyDescent="0.25">
      <c r="BA1804" s="12"/>
      <c r="BB1804" s="30"/>
      <c r="BC1804" s="33"/>
      <c r="BD1804" s="33"/>
      <c r="BE1804" s="33"/>
      <c r="BF1804" s="29"/>
      <c r="BG1804" s="29"/>
      <c r="BH1804" s="12"/>
      <c r="BI1804" s="12"/>
      <c r="BJ1804" s="12"/>
    </row>
    <row r="1805" spans="53:62" x14ac:dyDescent="0.25">
      <c r="BA1805" s="12"/>
      <c r="BB1805" s="30"/>
      <c r="BC1805" s="33"/>
      <c r="BD1805" s="33"/>
      <c r="BE1805" s="33"/>
      <c r="BF1805" s="29"/>
      <c r="BG1805" s="29"/>
      <c r="BH1805" s="12"/>
      <c r="BI1805" s="12"/>
      <c r="BJ1805" s="12"/>
    </row>
    <row r="1806" spans="53:62" x14ac:dyDescent="0.25">
      <c r="BA1806" s="12"/>
      <c r="BB1806" s="30"/>
      <c r="BC1806" s="33"/>
      <c r="BD1806" s="33"/>
      <c r="BE1806" s="33"/>
      <c r="BF1806" s="29"/>
      <c r="BG1806" s="29"/>
      <c r="BH1806" s="12"/>
      <c r="BI1806" s="12"/>
      <c r="BJ1806" s="12"/>
    </row>
    <row r="1807" spans="53:62" x14ac:dyDescent="0.25">
      <c r="BA1807" s="12"/>
      <c r="BB1807" s="30"/>
      <c r="BC1807" s="33"/>
      <c r="BD1807" s="33"/>
      <c r="BE1807" s="33"/>
      <c r="BF1807" s="29"/>
      <c r="BG1807" s="29"/>
      <c r="BH1807" s="12"/>
      <c r="BI1807" s="12"/>
      <c r="BJ1807" s="12"/>
    </row>
    <row r="1808" spans="53:62" x14ac:dyDescent="0.25">
      <c r="BA1808" s="12"/>
      <c r="BB1808" s="30"/>
      <c r="BC1808" s="33"/>
      <c r="BD1808" s="33"/>
      <c r="BE1808" s="33"/>
      <c r="BF1808" s="29"/>
      <c r="BG1808" s="29"/>
      <c r="BH1808" s="12"/>
      <c r="BI1808" s="12"/>
      <c r="BJ1808" s="12"/>
    </row>
    <row r="1809" spans="53:62" x14ac:dyDescent="0.25">
      <c r="BA1809" s="12"/>
      <c r="BB1809" s="30"/>
      <c r="BC1809" s="33"/>
      <c r="BD1809" s="33"/>
      <c r="BE1809" s="33"/>
      <c r="BF1809" s="29"/>
      <c r="BG1809" s="29"/>
      <c r="BH1809" s="12"/>
      <c r="BI1809" s="12"/>
      <c r="BJ1809" s="12"/>
    </row>
    <row r="1810" spans="53:62" x14ac:dyDescent="0.25">
      <c r="BA1810" s="12"/>
      <c r="BB1810" s="30"/>
      <c r="BC1810" s="33"/>
      <c r="BD1810" s="33"/>
      <c r="BE1810" s="33"/>
      <c r="BF1810" s="29"/>
      <c r="BG1810" s="29"/>
      <c r="BH1810" s="12"/>
      <c r="BI1810" s="12"/>
      <c r="BJ1810" s="12"/>
    </row>
    <row r="1811" spans="53:62" x14ac:dyDescent="0.25">
      <c r="BA1811" s="12"/>
      <c r="BB1811" s="30"/>
      <c r="BC1811" s="33"/>
      <c r="BD1811" s="33"/>
      <c r="BE1811" s="33"/>
      <c r="BF1811" s="29"/>
      <c r="BG1811" s="29"/>
      <c r="BH1811" s="12"/>
      <c r="BI1811" s="12"/>
      <c r="BJ1811" s="12"/>
    </row>
    <row r="1812" spans="53:62" x14ac:dyDescent="0.25">
      <c r="BA1812" s="12"/>
      <c r="BB1812" s="30"/>
      <c r="BC1812" s="33"/>
      <c r="BD1812" s="33"/>
      <c r="BE1812" s="33"/>
      <c r="BF1812" s="29"/>
      <c r="BG1812" s="29"/>
      <c r="BH1812" s="12"/>
      <c r="BI1812" s="12"/>
      <c r="BJ1812" s="12"/>
    </row>
    <row r="1813" spans="53:62" x14ac:dyDescent="0.25">
      <c r="BA1813" s="12"/>
      <c r="BB1813" s="30"/>
      <c r="BC1813" s="33"/>
      <c r="BD1813" s="33"/>
      <c r="BE1813" s="33"/>
      <c r="BF1813" s="29"/>
      <c r="BG1813" s="29"/>
      <c r="BH1813" s="12"/>
      <c r="BI1813" s="12"/>
      <c r="BJ1813" s="12"/>
    </row>
    <row r="1814" spans="53:62" x14ac:dyDescent="0.25">
      <c r="BA1814" s="12"/>
      <c r="BB1814" s="30"/>
      <c r="BC1814" s="33"/>
      <c r="BD1814" s="33"/>
      <c r="BE1814" s="33"/>
      <c r="BF1814" s="29"/>
      <c r="BG1814" s="29"/>
      <c r="BH1814" s="12"/>
      <c r="BI1814" s="12"/>
      <c r="BJ1814" s="12"/>
    </row>
    <row r="1815" spans="53:62" x14ac:dyDescent="0.25">
      <c r="BA1815" s="12"/>
      <c r="BB1815" s="30"/>
      <c r="BC1815" s="33"/>
      <c r="BD1815" s="33"/>
      <c r="BE1815" s="33"/>
      <c r="BF1815" s="29"/>
      <c r="BG1815" s="29"/>
      <c r="BH1815" s="12"/>
      <c r="BI1815" s="12"/>
      <c r="BJ1815" s="12"/>
    </row>
    <row r="1816" spans="53:62" x14ac:dyDescent="0.25">
      <c r="BA1816" s="12"/>
      <c r="BB1816" s="30"/>
      <c r="BC1816" s="33"/>
      <c r="BD1816" s="33"/>
      <c r="BE1816" s="33"/>
      <c r="BF1816" s="29"/>
      <c r="BG1816" s="29"/>
      <c r="BH1816" s="12"/>
      <c r="BI1816" s="12"/>
      <c r="BJ1816" s="12"/>
    </row>
    <row r="1817" spans="53:62" x14ac:dyDescent="0.25">
      <c r="BA1817" s="12"/>
      <c r="BB1817" s="30"/>
      <c r="BC1817" s="33"/>
      <c r="BD1817" s="33"/>
      <c r="BE1817" s="33"/>
      <c r="BF1817" s="29"/>
      <c r="BG1817" s="29"/>
      <c r="BH1817" s="12"/>
      <c r="BI1817" s="12"/>
      <c r="BJ1817" s="12"/>
    </row>
    <row r="1818" spans="53:62" x14ac:dyDescent="0.25">
      <c r="BA1818" s="12"/>
      <c r="BB1818" s="30"/>
      <c r="BC1818" s="33"/>
      <c r="BD1818" s="33"/>
      <c r="BE1818" s="33"/>
      <c r="BF1818" s="29"/>
      <c r="BG1818" s="29"/>
      <c r="BH1818" s="12"/>
      <c r="BI1818" s="12"/>
      <c r="BJ1818" s="12"/>
    </row>
    <row r="1819" spans="53:62" x14ac:dyDescent="0.25">
      <c r="BA1819" s="12"/>
      <c r="BB1819" s="30"/>
      <c r="BC1819" s="33"/>
      <c r="BD1819" s="33"/>
      <c r="BE1819" s="33"/>
      <c r="BF1819" s="29"/>
      <c r="BG1819" s="29"/>
      <c r="BH1819" s="12"/>
      <c r="BI1819" s="12"/>
      <c r="BJ1819" s="12"/>
    </row>
    <row r="1820" spans="53:62" x14ac:dyDescent="0.25">
      <c r="BA1820" s="12"/>
      <c r="BB1820" s="30"/>
      <c r="BC1820" s="33"/>
      <c r="BD1820" s="33"/>
      <c r="BE1820" s="33"/>
      <c r="BF1820" s="29"/>
      <c r="BG1820" s="29"/>
      <c r="BH1820" s="12"/>
      <c r="BI1820" s="12"/>
      <c r="BJ1820" s="12"/>
    </row>
    <row r="1821" spans="53:62" x14ac:dyDescent="0.25">
      <c r="BA1821" s="12"/>
      <c r="BB1821" s="30"/>
      <c r="BC1821" s="33"/>
      <c r="BD1821" s="33"/>
      <c r="BE1821" s="33"/>
      <c r="BF1821" s="29"/>
      <c r="BG1821" s="29"/>
      <c r="BH1821" s="12"/>
      <c r="BI1821" s="12"/>
      <c r="BJ1821" s="12"/>
    </row>
    <row r="1822" spans="53:62" x14ac:dyDescent="0.25">
      <c r="BA1822" s="12"/>
      <c r="BB1822" s="30"/>
      <c r="BC1822" s="33"/>
      <c r="BD1822" s="33"/>
      <c r="BE1822" s="33"/>
      <c r="BF1822" s="29"/>
      <c r="BG1822" s="29"/>
      <c r="BH1822" s="12"/>
      <c r="BI1822" s="12"/>
      <c r="BJ1822" s="12"/>
    </row>
    <row r="1823" spans="53:62" x14ac:dyDescent="0.25">
      <c r="BA1823" s="12"/>
      <c r="BB1823" s="30"/>
      <c r="BC1823" s="33"/>
      <c r="BD1823" s="33"/>
      <c r="BE1823" s="33"/>
      <c r="BF1823" s="29"/>
      <c r="BG1823" s="29"/>
      <c r="BH1823" s="12"/>
      <c r="BI1823" s="12"/>
      <c r="BJ1823" s="12"/>
    </row>
    <row r="1824" spans="53:62" x14ac:dyDescent="0.25">
      <c r="BA1824" s="12"/>
      <c r="BB1824" s="30"/>
      <c r="BC1824" s="33"/>
      <c r="BD1824" s="33"/>
      <c r="BE1824" s="33"/>
      <c r="BF1824" s="29"/>
      <c r="BG1824" s="29"/>
      <c r="BH1824" s="12"/>
      <c r="BI1824" s="12"/>
      <c r="BJ1824" s="12"/>
    </row>
    <row r="1825" spans="53:62" x14ac:dyDescent="0.25">
      <c r="BA1825" s="12"/>
      <c r="BB1825" s="30"/>
      <c r="BC1825" s="33"/>
      <c r="BD1825" s="33"/>
      <c r="BE1825" s="33"/>
      <c r="BF1825" s="29"/>
      <c r="BG1825" s="29"/>
      <c r="BH1825" s="12"/>
      <c r="BI1825" s="12"/>
      <c r="BJ1825" s="12"/>
    </row>
    <row r="1826" spans="53:62" x14ac:dyDescent="0.25">
      <c r="BA1826" s="12"/>
      <c r="BB1826" s="30"/>
      <c r="BC1826" s="33"/>
      <c r="BD1826" s="33"/>
      <c r="BE1826" s="33"/>
      <c r="BF1826" s="29"/>
      <c r="BG1826" s="29"/>
      <c r="BH1826" s="12"/>
      <c r="BI1826" s="12"/>
      <c r="BJ1826" s="12"/>
    </row>
    <row r="1827" spans="53:62" x14ac:dyDescent="0.25">
      <c r="BA1827" s="12"/>
      <c r="BB1827" s="30"/>
      <c r="BC1827" s="33"/>
      <c r="BD1827" s="33"/>
      <c r="BE1827" s="33"/>
      <c r="BF1827" s="29"/>
      <c r="BG1827" s="29"/>
      <c r="BH1827" s="12"/>
      <c r="BI1827" s="12"/>
      <c r="BJ1827" s="12"/>
    </row>
    <row r="1828" spans="53:62" x14ac:dyDescent="0.25">
      <c r="BA1828" s="12"/>
      <c r="BB1828" s="30"/>
      <c r="BC1828" s="33"/>
      <c r="BD1828" s="33"/>
      <c r="BE1828" s="33"/>
      <c r="BF1828" s="29"/>
      <c r="BG1828" s="29"/>
      <c r="BH1828" s="12"/>
      <c r="BI1828" s="12"/>
      <c r="BJ1828" s="12"/>
    </row>
    <row r="1829" spans="53:62" x14ac:dyDescent="0.25">
      <c r="BA1829" s="12"/>
      <c r="BB1829" s="30"/>
      <c r="BC1829" s="33"/>
      <c r="BD1829" s="33"/>
      <c r="BE1829" s="33"/>
      <c r="BF1829" s="29"/>
      <c r="BG1829" s="29"/>
      <c r="BH1829" s="12"/>
      <c r="BI1829" s="12"/>
      <c r="BJ1829" s="12"/>
    </row>
    <row r="1830" spans="53:62" x14ac:dyDescent="0.25">
      <c r="BA1830" s="12"/>
      <c r="BB1830" s="30"/>
      <c r="BC1830" s="33"/>
      <c r="BD1830" s="33"/>
      <c r="BE1830" s="33"/>
      <c r="BF1830" s="29"/>
      <c r="BG1830" s="29"/>
      <c r="BH1830" s="12"/>
      <c r="BI1830" s="12"/>
      <c r="BJ1830" s="12"/>
    </row>
    <row r="1831" spans="53:62" x14ac:dyDescent="0.25">
      <c r="BA1831" s="12"/>
      <c r="BB1831" s="30"/>
      <c r="BC1831" s="33"/>
      <c r="BD1831" s="33"/>
      <c r="BE1831" s="33"/>
      <c r="BF1831" s="29"/>
      <c r="BG1831" s="29"/>
      <c r="BH1831" s="12"/>
      <c r="BI1831" s="12"/>
      <c r="BJ1831" s="12"/>
    </row>
    <row r="1832" spans="53:62" x14ac:dyDescent="0.25">
      <c r="BA1832" s="12"/>
      <c r="BB1832" s="30"/>
      <c r="BC1832" s="33"/>
      <c r="BD1832" s="33"/>
      <c r="BE1832" s="33"/>
      <c r="BF1832" s="29"/>
      <c r="BG1832" s="29"/>
      <c r="BH1832" s="12"/>
      <c r="BI1832" s="12"/>
      <c r="BJ1832" s="12"/>
    </row>
    <row r="1833" spans="53:62" x14ac:dyDescent="0.25">
      <c r="BA1833" s="12"/>
      <c r="BB1833" s="30"/>
      <c r="BC1833" s="33"/>
      <c r="BD1833" s="33"/>
      <c r="BE1833" s="33"/>
      <c r="BF1833" s="29"/>
      <c r="BG1833" s="29"/>
      <c r="BH1833" s="12"/>
      <c r="BI1833" s="12"/>
      <c r="BJ1833" s="12"/>
    </row>
    <row r="1834" spans="53:62" x14ac:dyDescent="0.25">
      <c r="BA1834" s="12"/>
      <c r="BB1834" s="30"/>
      <c r="BC1834" s="33"/>
      <c r="BD1834" s="33"/>
      <c r="BE1834" s="33"/>
      <c r="BF1834" s="29"/>
      <c r="BG1834" s="29"/>
      <c r="BH1834" s="12"/>
      <c r="BI1834" s="12"/>
      <c r="BJ1834" s="12"/>
    </row>
    <row r="1835" spans="53:62" x14ac:dyDescent="0.25">
      <c r="BA1835" s="12"/>
      <c r="BB1835" s="30"/>
      <c r="BC1835" s="33"/>
      <c r="BD1835" s="33"/>
      <c r="BE1835" s="33"/>
      <c r="BF1835" s="29"/>
      <c r="BG1835" s="29"/>
      <c r="BH1835" s="12"/>
      <c r="BI1835" s="12"/>
      <c r="BJ1835" s="12"/>
    </row>
    <row r="1836" spans="53:62" x14ac:dyDescent="0.25">
      <c r="BA1836" s="12"/>
      <c r="BB1836" s="30"/>
      <c r="BC1836" s="33"/>
      <c r="BD1836" s="33"/>
      <c r="BE1836" s="33"/>
      <c r="BF1836" s="29"/>
      <c r="BG1836" s="29"/>
      <c r="BH1836" s="12"/>
      <c r="BI1836" s="12"/>
      <c r="BJ1836" s="12"/>
    </row>
    <row r="1837" spans="53:62" x14ac:dyDescent="0.25">
      <c r="BA1837" s="12"/>
      <c r="BB1837" s="30"/>
      <c r="BC1837" s="33"/>
      <c r="BD1837" s="33"/>
      <c r="BE1837" s="33"/>
      <c r="BF1837" s="29"/>
      <c r="BG1837" s="29"/>
      <c r="BH1837" s="12"/>
      <c r="BI1837" s="12"/>
      <c r="BJ1837" s="12"/>
    </row>
    <row r="1838" spans="53:62" x14ac:dyDescent="0.25">
      <c r="BA1838" s="12"/>
      <c r="BB1838" s="30"/>
      <c r="BC1838" s="33"/>
      <c r="BD1838" s="33"/>
      <c r="BE1838" s="33"/>
      <c r="BF1838" s="29"/>
      <c r="BG1838" s="29"/>
      <c r="BH1838" s="12"/>
      <c r="BI1838" s="12"/>
      <c r="BJ1838" s="12"/>
    </row>
    <row r="1839" spans="53:62" x14ac:dyDescent="0.25">
      <c r="BA1839" s="12"/>
      <c r="BB1839" s="30"/>
      <c r="BC1839" s="33"/>
      <c r="BD1839" s="33"/>
      <c r="BE1839" s="33"/>
      <c r="BF1839" s="29"/>
      <c r="BG1839" s="29"/>
      <c r="BH1839" s="12"/>
      <c r="BI1839" s="12"/>
      <c r="BJ1839" s="12"/>
    </row>
    <row r="1840" spans="53:62" x14ac:dyDescent="0.25">
      <c r="BA1840" s="12"/>
      <c r="BB1840" s="30"/>
      <c r="BC1840" s="33"/>
      <c r="BD1840" s="33"/>
      <c r="BE1840" s="33"/>
      <c r="BF1840" s="29"/>
      <c r="BG1840" s="29"/>
      <c r="BH1840" s="12"/>
      <c r="BI1840" s="12"/>
      <c r="BJ1840" s="12"/>
    </row>
    <row r="1841" spans="53:62" x14ac:dyDescent="0.25">
      <c r="BA1841" s="12"/>
      <c r="BB1841" s="30"/>
      <c r="BC1841" s="33"/>
      <c r="BD1841" s="33"/>
      <c r="BE1841" s="33"/>
      <c r="BF1841" s="29"/>
      <c r="BG1841" s="29"/>
      <c r="BH1841" s="12"/>
      <c r="BI1841" s="12"/>
      <c r="BJ1841" s="12"/>
    </row>
    <row r="1842" spans="53:62" x14ac:dyDescent="0.25">
      <c r="BA1842" s="12"/>
      <c r="BB1842" s="30"/>
      <c r="BC1842" s="33"/>
      <c r="BD1842" s="33"/>
      <c r="BE1842" s="33"/>
      <c r="BF1842" s="29"/>
      <c r="BG1842" s="29"/>
      <c r="BH1842" s="12"/>
      <c r="BI1842" s="12"/>
      <c r="BJ1842" s="12"/>
    </row>
    <row r="1843" spans="53:62" x14ac:dyDescent="0.25">
      <c r="BA1843" s="12"/>
      <c r="BB1843" s="30"/>
      <c r="BC1843" s="33"/>
      <c r="BD1843" s="33"/>
      <c r="BE1843" s="33"/>
      <c r="BF1843" s="29"/>
      <c r="BG1843" s="29"/>
      <c r="BH1843" s="12"/>
      <c r="BI1843" s="12"/>
      <c r="BJ1843" s="12"/>
    </row>
    <row r="1844" spans="53:62" x14ac:dyDescent="0.25">
      <c r="BA1844" s="12"/>
      <c r="BB1844" s="30"/>
      <c r="BC1844" s="33"/>
      <c r="BD1844" s="33"/>
      <c r="BE1844" s="33"/>
      <c r="BF1844" s="29"/>
      <c r="BG1844" s="29"/>
      <c r="BH1844" s="12"/>
      <c r="BI1844" s="12"/>
      <c r="BJ1844" s="12"/>
    </row>
    <row r="1845" spans="53:62" x14ac:dyDescent="0.25">
      <c r="BA1845" s="12"/>
      <c r="BB1845" s="30"/>
      <c r="BC1845" s="33"/>
      <c r="BD1845" s="33"/>
      <c r="BE1845" s="33"/>
      <c r="BF1845" s="29"/>
      <c r="BG1845" s="29"/>
      <c r="BH1845" s="12"/>
      <c r="BI1845" s="12"/>
      <c r="BJ1845" s="12"/>
    </row>
    <row r="1846" spans="53:62" x14ac:dyDescent="0.25">
      <c r="BA1846" s="12"/>
      <c r="BB1846" s="30"/>
      <c r="BC1846" s="33"/>
      <c r="BD1846" s="33"/>
      <c r="BE1846" s="33"/>
      <c r="BF1846" s="29"/>
      <c r="BG1846" s="29"/>
      <c r="BH1846" s="12"/>
      <c r="BI1846" s="12"/>
      <c r="BJ1846" s="12"/>
    </row>
    <row r="1847" spans="53:62" x14ac:dyDescent="0.25">
      <c r="BA1847" s="12"/>
      <c r="BB1847" s="30"/>
      <c r="BC1847" s="33"/>
      <c r="BD1847" s="33"/>
      <c r="BE1847" s="33"/>
      <c r="BF1847" s="29"/>
      <c r="BG1847" s="29"/>
      <c r="BH1847" s="12"/>
      <c r="BI1847" s="12"/>
      <c r="BJ1847" s="12"/>
    </row>
    <row r="1848" spans="53:62" x14ac:dyDescent="0.25">
      <c r="BA1848" s="12"/>
      <c r="BB1848" s="30"/>
      <c r="BC1848" s="33"/>
      <c r="BD1848" s="33"/>
      <c r="BE1848" s="33"/>
      <c r="BF1848" s="29"/>
      <c r="BG1848" s="29"/>
      <c r="BH1848" s="12"/>
      <c r="BI1848" s="12"/>
      <c r="BJ1848" s="12"/>
    </row>
    <row r="1849" spans="53:62" x14ac:dyDescent="0.25">
      <c r="BA1849" s="12"/>
      <c r="BB1849" s="30"/>
      <c r="BC1849" s="33"/>
      <c r="BD1849" s="33"/>
      <c r="BE1849" s="33"/>
      <c r="BF1849" s="29"/>
      <c r="BG1849" s="29"/>
      <c r="BH1849" s="12"/>
      <c r="BI1849" s="12"/>
      <c r="BJ1849" s="12"/>
    </row>
    <row r="1850" spans="53:62" x14ac:dyDescent="0.25">
      <c r="BA1850" s="12"/>
      <c r="BB1850" s="30"/>
      <c r="BC1850" s="33"/>
      <c r="BD1850" s="33"/>
      <c r="BE1850" s="33"/>
      <c r="BF1850" s="29"/>
      <c r="BG1850" s="29"/>
      <c r="BH1850" s="12"/>
      <c r="BI1850" s="12"/>
      <c r="BJ1850" s="12"/>
    </row>
    <row r="1851" spans="53:62" x14ac:dyDescent="0.25">
      <c r="BA1851" s="12"/>
      <c r="BB1851" s="30"/>
      <c r="BC1851" s="33"/>
      <c r="BD1851" s="33"/>
      <c r="BE1851" s="33"/>
      <c r="BF1851" s="29"/>
      <c r="BG1851" s="29"/>
      <c r="BH1851" s="12"/>
      <c r="BI1851" s="12"/>
      <c r="BJ1851" s="12"/>
    </row>
    <row r="1852" spans="53:62" x14ac:dyDescent="0.25">
      <c r="BA1852" s="12"/>
      <c r="BB1852" s="30"/>
      <c r="BC1852" s="33"/>
      <c r="BD1852" s="33"/>
      <c r="BE1852" s="33"/>
      <c r="BF1852" s="29"/>
      <c r="BG1852" s="29"/>
      <c r="BH1852" s="12"/>
      <c r="BI1852" s="12"/>
      <c r="BJ1852" s="12"/>
    </row>
    <row r="1853" spans="53:62" x14ac:dyDescent="0.25">
      <c r="BA1853" s="12"/>
      <c r="BB1853" s="30"/>
      <c r="BC1853" s="33"/>
      <c r="BD1853" s="33"/>
      <c r="BE1853" s="33"/>
      <c r="BF1853" s="29"/>
      <c r="BG1853" s="29"/>
      <c r="BH1853" s="12"/>
      <c r="BI1853" s="12"/>
      <c r="BJ1853" s="12"/>
    </row>
    <row r="1854" spans="53:62" x14ac:dyDescent="0.25">
      <c r="BA1854" s="12"/>
      <c r="BB1854" s="30"/>
      <c r="BC1854" s="33"/>
      <c r="BD1854" s="33"/>
      <c r="BE1854" s="33"/>
      <c r="BF1854" s="29"/>
      <c r="BG1854" s="29"/>
      <c r="BH1854" s="12"/>
      <c r="BI1854" s="12"/>
      <c r="BJ1854" s="12"/>
    </row>
    <row r="1855" spans="53:62" x14ac:dyDescent="0.25">
      <c r="BA1855" s="12"/>
      <c r="BB1855" s="30"/>
      <c r="BC1855" s="33"/>
      <c r="BD1855" s="33"/>
      <c r="BE1855" s="33"/>
      <c r="BF1855" s="29"/>
      <c r="BG1855" s="29"/>
      <c r="BH1855" s="12"/>
      <c r="BI1855" s="12"/>
      <c r="BJ1855" s="12"/>
    </row>
    <row r="1856" spans="53:62" x14ac:dyDescent="0.25">
      <c r="BA1856" s="12"/>
      <c r="BB1856" s="30"/>
      <c r="BC1856" s="33"/>
      <c r="BD1856" s="33"/>
      <c r="BE1856" s="33"/>
      <c r="BF1856" s="29"/>
      <c r="BG1856" s="29"/>
      <c r="BH1856" s="12"/>
      <c r="BI1856" s="12"/>
      <c r="BJ1856" s="12"/>
    </row>
    <row r="1857" spans="53:62" x14ac:dyDescent="0.25">
      <c r="BA1857" s="12"/>
      <c r="BB1857" s="30"/>
      <c r="BC1857" s="33"/>
      <c r="BD1857" s="33"/>
      <c r="BE1857" s="33"/>
      <c r="BF1857" s="29"/>
      <c r="BG1857" s="29"/>
      <c r="BH1857" s="12"/>
      <c r="BI1857" s="12"/>
      <c r="BJ1857" s="12"/>
    </row>
    <row r="1858" spans="53:62" x14ac:dyDescent="0.25">
      <c r="BA1858" s="12"/>
      <c r="BB1858" s="30"/>
      <c r="BC1858" s="33"/>
      <c r="BD1858" s="33"/>
      <c r="BE1858" s="33"/>
      <c r="BF1858" s="29"/>
      <c r="BG1858" s="29"/>
      <c r="BH1858" s="12"/>
      <c r="BI1858" s="12"/>
      <c r="BJ1858" s="12"/>
    </row>
    <row r="1859" spans="53:62" x14ac:dyDescent="0.25">
      <c r="BA1859" s="12"/>
      <c r="BB1859" s="30"/>
      <c r="BC1859" s="33"/>
      <c r="BD1859" s="33"/>
      <c r="BE1859" s="33"/>
      <c r="BF1859" s="29"/>
      <c r="BG1859" s="29"/>
      <c r="BH1859" s="12"/>
      <c r="BI1859" s="12"/>
      <c r="BJ1859" s="12"/>
    </row>
    <row r="1860" spans="53:62" x14ac:dyDescent="0.25">
      <c r="BA1860" s="12"/>
      <c r="BB1860" s="30"/>
      <c r="BC1860" s="33"/>
      <c r="BD1860" s="33"/>
      <c r="BE1860" s="33"/>
      <c r="BF1860" s="29"/>
      <c r="BG1860" s="29"/>
      <c r="BH1860" s="12"/>
      <c r="BI1860" s="12"/>
      <c r="BJ1860" s="12"/>
    </row>
    <row r="1861" spans="53:62" x14ac:dyDescent="0.25">
      <c r="BA1861" s="12"/>
      <c r="BB1861" s="30"/>
      <c r="BC1861" s="33"/>
      <c r="BD1861" s="33"/>
      <c r="BE1861" s="33"/>
      <c r="BF1861" s="29"/>
      <c r="BG1861" s="29"/>
      <c r="BH1861" s="12"/>
      <c r="BI1861" s="12"/>
      <c r="BJ1861" s="12"/>
    </row>
    <row r="1862" spans="53:62" x14ac:dyDescent="0.25">
      <c r="BA1862" s="12"/>
      <c r="BB1862" s="30"/>
      <c r="BC1862" s="33"/>
      <c r="BD1862" s="33"/>
      <c r="BE1862" s="33"/>
      <c r="BF1862" s="29"/>
      <c r="BG1862" s="29"/>
      <c r="BH1862" s="12"/>
      <c r="BI1862" s="12"/>
      <c r="BJ1862" s="12"/>
    </row>
    <row r="1863" spans="53:62" x14ac:dyDescent="0.25">
      <c r="BA1863" s="12"/>
      <c r="BB1863" s="30"/>
      <c r="BC1863" s="33"/>
      <c r="BD1863" s="33"/>
      <c r="BE1863" s="33"/>
      <c r="BF1863" s="29"/>
      <c r="BG1863" s="29"/>
      <c r="BH1863" s="12"/>
      <c r="BI1863" s="12"/>
      <c r="BJ1863" s="12"/>
    </row>
    <row r="1864" spans="53:62" x14ac:dyDescent="0.25">
      <c r="BA1864" s="12"/>
      <c r="BB1864" s="30"/>
      <c r="BC1864" s="33"/>
      <c r="BD1864" s="33"/>
      <c r="BE1864" s="33"/>
      <c r="BF1864" s="29"/>
      <c r="BG1864" s="29"/>
      <c r="BH1864" s="12"/>
      <c r="BI1864" s="12"/>
      <c r="BJ1864" s="12"/>
    </row>
    <row r="1865" spans="53:62" x14ac:dyDescent="0.25">
      <c r="BA1865" s="12"/>
      <c r="BB1865" s="30"/>
      <c r="BC1865" s="33"/>
      <c r="BD1865" s="33"/>
      <c r="BE1865" s="33"/>
      <c r="BF1865" s="29"/>
      <c r="BG1865" s="29"/>
      <c r="BH1865" s="12"/>
      <c r="BI1865" s="12"/>
      <c r="BJ1865" s="12"/>
    </row>
    <row r="1866" spans="53:62" x14ac:dyDescent="0.25">
      <c r="BA1866" s="12"/>
      <c r="BB1866" s="30"/>
      <c r="BC1866" s="33"/>
      <c r="BD1866" s="33"/>
      <c r="BE1866" s="33"/>
      <c r="BF1866" s="29"/>
      <c r="BG1866" s="29"/>
      <c r="BH1866" s="12"/>
      <c r="BI1866" s="12"/>
      <c r="BJ1866" s="12"/>
    </row>
    <row r="1867" spans="53:62" x14ac:dyDescent="0.25">
      <c r="BA1867" s="12"/>
      <c r="BB1867" s="30"/>
      <c r="BC1867" s="33"/>
      <c r="BD1867" s="33"/>
      <c r="BE1867" s="33"/>
      <c r="BF1867" s="29"/>
      <c r="BG1867" s="29"/>
      <c r="BH1867" s="12"/>
      <c r="BI1867" s="12"/>
      <c r="BJ1867" s="12"/>
    </row>
    <row r="1868" spans="53:62" x14ac:dyDescent="0.25">
      <c r="BA1868" s="12"/>
      <c r="BB1868" s="30"/>
      <c r="BC1868" s="33"/>
      <c r="BD1868" s="33"/>
      <c r="BE1868" s="33"/>
      <c r="BF1868" s="29"/>
      <c r="BG1868" s="29"/>
      <c r="BH1868" s="12"/>
      <c r="BI1868" s="12"/>
      <c r="BJ1868" s="12"/>
    </row>
    <row r="1869" spans="53:62" x14ac:dyDescent="0.25">
      <c r="BA1869" s="12"/>
      <c r="BB1869" s="30"/>
      <c r="BC1869" s="33"/>
      <c r="BD1869" s="33"/>
      <c r="BE1869" s="33"/>
      <c r="BF1869" s="29"/>
      <c r="BG1869" s="29"/>
      <c r="BH1869" s="12"/>
      <c r="BI1869" s="12"/>
      <c r="BJ1869" s="12"/>
    </row>
    <row r="1870" spans="53:62" x14ac:dyDescent="0.25">
      <c r="BA1870" s="12"/>
      <c r="BB1870" s="30"/>
      <c r="BC1870" s="33"/>
      <c r="BD1870" s="33"/>
      <c r="BE1870" s="33"/>
      <c r="BF1870" s="29"/>
      <c r="BG1870" s="29"/>
      <c r="BH1870" s="12"/>
      <c r="BI1870" s="12"/>
      <c r="BJ1870" s="12"/>
    </row>
    <row r="1871" spans="53:62" x14ac:dyDescent="0.25">
      <c r="BA1871" s="12"/>
      <c r="BB1871" s="30"/>
      <c r="BC1871" s="33"/>
      <c r="BD1871" s="33"/>
      <c r="BE1871" s="33"/>
      <c r="BF1871" s="29"/>
      <c r="BG1871" s="29"/>
      <c r="BH1871" s="12"/>
      <c r="BI1871" s="12"/>
      <c r="BJ1871" s="12"/>
    </row>
    <row r="1872" spans="53:62" x14ac:dyDescent="0.25">
      <c r="BA1872" s="12"/>
      <c r="BB1872" s="30"/>
      <c r="BC1872" s="33"/>
      <c r="BD1872" s="33"/>
      <c r="BE1872" s="33"/>
      <c r="BF1872" s="29"/>
      <c r="BG1872" s="29"/>
      <c r="BH1872" s="12"/>
      <c r="BI1872" s="12"/>
      <c r="BJ1872" s="12"/>
    </row>
    <row r="1873" spans="53:62" x14ac:dyDescent="0.25">
      <c r="BA1873" s="12"/>
      <c r="BB1873" s="30"/>
      <c r="BC1873" s="33"/>
      <c r="BD1873" s="33"/>
      <c r="BE1873" s="33"/>
      <c r="BF1873" s="29"/>
      <c r="BG1873" s="29"/>
      <c r="BH1873" s="12"/>
      <c r="BI1873" s="12"/>
      <c r="BJ1873" s="12"/>
    </row>
    <row r="1874" spans="53:62" x14ac:dyDescent="0.25">
      <c r="BA1874" s="12"/>
      <c r="BB1874" s="30"/>
      <c r="BC1874" s="33"/>
      <c r="BD1874" s="33"/>
      <c r="BE1874" s="33"/>
      <c r="BF1874" s="29"/>
      <c r="BG1874" s="29"/>
      <c r="BH1874" s="12"/>
      <c r="BI1874" s="12"/>
      <c r="BJ1874" s="12"/>
    </row>
    <row r="1875" spans="53:62" x14ac:dyDescent="0.25">
      <c r="BA1875" s="12"/>
      <c r="BB1875" s="30"/>
      <c r="BC1875" s="33"/>
      <c r="BD1875" s="33"/>
      <c r="BE1875" s="33"/>
      <c r="BF1875" s="29"/>
      <c r="BG1875" s="29"/>
      <c r="BH1875" s="12"/>
      <c r="BI1875" s="12"/>
      <c r="BJ1875" s="12"/>
    </row>
    <row r="1876" spans="53:62" x14ac:dyDescent="0.25">
      <c r="BA1876" s="12"/>
      <c r="BB1876" s="30"/>
      <c r="BC1876" s="33"/>
      <c r="BD1876" s="33"/>
      <c r="BE1876" s="33"/>
      <c r="BF1876" s="29"/>
      <c r="BG1876" s="29"/>
      <c r="BH1876" s="12"/>
      <c r="BI1876" s="12"/>
      <c r="BJ1876" s="12"/>
    </row>
    <row r="1877" spans="53:62" x14ac:dyDescent="0.25">
      <c r="BA1877" s="12"/>
      <c r="BB1877" s="30"/>
      <c r="BC1877" s="33"/>
      <c r="BD1877" s="33"/>
      <c r="BE1877" s="33"/>
      <c r="BF1877" s="29"/>
      <c r="BG1877" s="29"/>
      <c r="BH1877" s="12"/>
      <c r="BI1877" s="12"/>
      <c r="BJ1877" s="12"/>
    </row>
    <row r="1878" spans="53:62" x14ac:dyDescent="0.25">
      <c r="BA1878" s="12"/>
      <c r="BB1878" s="30"/>
      <c r="BC1878" s="33"/>
      <c r="BD1878" s="33"/>
      <c r="BE1878" s="33"/>
      <c r="BF1878" s="29"/>
      <c r="BG1878" s="29"/>
      <c r="BH1878" s="12"/>
      <c r="BI1878" s="12"/>
      <c r="BJ1878" s="12"/>
    </row>
    <row r="1879" spans="53:62" x14ac:dyDescent="0.25">
      <c r="BA1879" s="12"/>
      <c r="BB1879" s="30"/>
      <c r="BC1879" s="33"/>
      <c r="BD1879" s="33"/>
      <c r="BE1879" s="33"/>
      <c r="BF1879" s="29"/>
      <c r="BG1879" s="29"/>
      <c r="BH1879" s="12"/>
      <c r="BI1879" s="12"/>
      <c r="BJ1879" s="12"/>
    </row>
    <row r="1880" spans="53:62" x14ac:dyDescent="0.25">
      <c r="BA1880" s="12"/>
      <c r="BB1880" s="30"/>
      <c r="BC1880" s="33"/>
      <c r="BD1880" s="33"/>
      <c r="BE1880" s="33"/>
      <c r="BF1880" s="29"/>
      <c r="BG1880" s="29"/>
      <c r="BH1880" s="12"/>
      <c r="BI1880" s="12"/>
      <c r="BJ1880" s="12"/>
    </row>
    <row r="1881" spans="53:62" x14ac:dyDescent="0.25">
      <c r="BA1881" s="12"/>
      <c r="BB1881" s="30"/>
      <c r="BC1881" s="33"/>
      <c r="BD1881" s="33"/>
      <c r="BE1881" s="33"/>
      <c r="BF1881" s="29"/>
      <c r="BG1881" s="29"/>
      <c r="BH1881" s="12"/>
      <c r="BI1881" s="12"/>
      <c r="BJ1881" s="12"/>
    </row>
    <row r="1882" spans="53:62" x14ac:dyDescent="0.25">
      <c r="BA1882" s="12"/>
      <c r="BB1882" s="30"/>
      <c r="BC1882" s="33"/>
      <c r="BD1882" s="33"/>
      <c r="BE1882" s="33"/>
      <c r="BF1882" s="29"/>
      <c r="BG1882" s="29"/>
      <c r="BH1882" s="12"/>
      <c r="BI1882" s="12"/>
      <c r="BJ1882" s="12"/>
    </row>
    <row r="1883" spans="53:62" x14ac:dyDescent="0.25">
      <c r="BA1883" s="12"/>
      <c r="BB1883" s="30"/>
      <c r="BC1883" s="33"/>
      <c r="BD1883" s="33"/>
      <c r="BE1883" s="33"/>
      <c r="BF1883" s="29"/>
      <c r="BG1883" s="29"/>
      <c r="BH1883" s="12"/>
      <c r="BI1883" s="12"/>
      <c r="BJ1883" s="12"/>
    </row>
    <row r="1884" spans="53:62" x14ac:dyDescent="0.25">
      <c r="BA1884" s="12"/>
      <c r="BB1884" s="30"/>
      <c r="BC1884" s="33"/>
      <c r="BD1884" s="33"/>
      <c r="BE1884" s="33"/>
      <c r="BF1884" s="29"/>
      <c r="BG1884" s="29"/>
      <c r="BH1884" s="12"/>
      <c r="BI1884" s="12"/>
      <c r="BJ1884" s="12"/>
    </row>
    <row r="1885" spans="53:62" x14ac:dyDescent="0.25">
      <c r="BA1885" s="12"/>
      <c r="BB1885" s="30"/>
      <c r="BC1885" s="33"/>
      <c r="BD1885" s="33"/>
      <c r="BE1885" s="33"/>
      <c r="BF1885" s="29"/>
      <c r="BG1885" s="29"/>
      <c r="BH1885" s="12"/>
      <c r="BI1885" s="12"/>
      <c r="BJ1885" s="12"/>
    </row>
    <row r="1886" spans="53:62" x14ac:dyDescent="0.25">
      <c r="BA1886" s="12"/>
      <c r="BB1886" s="30"/>
      <c r="BC1886" s="33"/>
      <c r="BD1886" s="33"/>
      <c r="BE1886" s="33"/>
      <c r="BF1886" s="29"/>
      <c r="BG1886" s="29"/>
      <c r="BH1886" s="12"/>
      <c r="BI1886" s="12"/>
      <c r="BJ1886" s="12"/>
    </row>
    <row r="1887" spans="53:62" x14ac:dyDescent="0.25">
      <c r="BA1887" s="12"/>
      <c r="BB1887" s="30"/>
      <c r="BC1887" s="33"/>
      <c r="BD1887" s="33"/>
      <c r="BE1887" s="33"/>
      <c r="BF1887" s="29"/>
      <c r="BG1887" s="29"/>
      <c r="BH1887" s="12"/>
      <c r="BI1887" s="12"/>
      <c r="BJ1887" s="12"/>
    </row>
    <row r="1888" spans="53:62" x14ac:dyDescent="0.25">
      <c r="BA1888" s="12"/>
      <c r="BB1888" s="30"/>
      <c r="BC1888" s="33"/>
      <c r="BD1888" s="33"/>
      <c r="BE1888" s="33"/>
      <c r="BF1888" s="29"/>
      <c r="BG1888" s="29"/>
      <c r="BH1888" s="12"/>
      <c r="BI1888" s="12"/>
      <c r="BJ1888" s="12"/>
    </row>
    <row r="1889" spans="53:62" x14ac:dyDescent="0.25">
      <c r="BA1889" s="12"/>
      <c r="BB1889" s="30"/>
      <c r="BC1889" s="33"/>
      <c r="BD1889" s="33"/>
      <c r="BE1889" s="33"/>
      <c r="BF1889" s="29"/>
      <c r="BG1889" s="29"/>
      <c r="BH1889" s="12"/>
      <c r="BI1889" s="12"/>
      <c r="BJ1889" s="12"/>
    </row>
    <row r="1890" spans="53:62" x14ac:dyDescent="0.25">
      <c r="BA1890" s="12"/>
      <c r="BB1890" s="30"/>
      <c r="BC1890" s="33"/>
      <c r="BD1890" s="33"/>
      <c r="BE1890" s="33"/>
      <c r="BF1890" s="29"/>
      <c r="BG1890" s="29"/>
      <c r="BH1890" s="12"/>
      <c r="BI1890" s="12"/>
      <c r="BJ1890" s="12"/>
    </row>
    <row r="1891" spans="53:62" x14ac:dyDescent="0.25">
      <c r="BA1891" s="12"/>
      <c r="BB1891" s="30"/>
      <c r="BC1891" s="33"/>
      <c r="BD1891" s="33"/>
      <c r="BE1891" s="33"/>
      <c r="BF1891" s="29"/>
      <c r="BG1891" s="29"/>
      <c r="BH1891" s="12"/>
      <c r="BI1891" s="12"/>
      <c r="BJ1891" s="12"/>
    </row>
    <row r="1892" spans="53:62" x14ac:dyDescent="0.25">
      <c r="BA1892" s="12"/>
      <c r="BB1892" s="30"/>
      <c r="BC1892" s="33"/>
      <c r="BD1892" s="33"/>
      <c r="BE1892" s="33"/>
      <c r="BF1892" s="29"/>
      <c r="BG1892" s="29"/>
      <c r="BH1892" s="12"/>
      <c r="BI1892" s="12"/>
      <c r="BJ1892" s="12"/>
    </row>
    <row r="1893" spans="53:62" x14ac:dyDescent="0.25">
      <c r="BA1893" s="12"/>
      <c r="BB1893" s="30"/>
      <c r="BC1893" s="33"/>
      <c r="BD1893" s="33"/>
      <c r="BE1893" s="33"/>
      <c r="BF1893" s="29"/>
      <c r="BG1893" s="29"/>
      <c r="BH1893" s="12"/>
      <c r="BI1893" s="12"/>
      <c r="BJ1893" s="12"/>
    </row>
    <row r="1894" spans="53:62" x14ac:dyDescent="0.25">
      <c r="BA1894" s="12"/>
      <c r="BB1894" s="30"/>
      <c r="BC1894" s="33"/>
      <c r="BD1894" s="33"/>
      <c r="BE1894" s="33"/>
      <c r="BF1894" s="29"/>
      <c r="BG1894" s="29"/>
      <c r="BH1894" s="12"/>
      <c r="BI1894" s="12"/>
      <c r="BJ1894" s="12"/>
    </row>
    <row r="1895" spans="53:62" x14ac:dyDescent="0.25">
      <c r="BA1895" s="12"/>
      <c r="BB1895" s="30"/>
      <c r="BC1895" s="33"/>
      <c r="BD1895" s="33"/>
      <c r="BE1895" s="33"/>
      <c r="BF1895" s="29"/>
      <c r="BG1895" s="29"/>
      <c r="BH1895" s="12"/>
      <c r="BI1895" s="12"/>
      <c r="BJ1895" s="12"/>
    </row>
    <row r="1896" spans="53:62" x14ac:dyDescent="0.25">
      <c r="BA1896" s="12"/>
      <c r="BB1896" s="30"/>
      <c r="BC1896" s="33"/>
      <c r="BD1896" s="33"/>
      <c r="BE1896" s="33"/>
      <c r="BF1896" s="29"/>
      <c r="BG1896" s="29"/>
      <c r="BH1896" s="12"/>
      <c r="BI1896" s="12"/>
      <c r="BJ1896" s="12"/>
    </row>
    <row r="1897" spans="53:62" x14ac:dyDescent="0.25">
      <c r="BA1897" s="12"/>
      <c r="BB1897" s="30"/>
      <c r="BC1897" s="33"/>
      <c r="BD1897" s="33"/>
      <c r="BE1897" s="33"/>
      <c r="BF1897" s="29"/>
      <c r="BG1897" s="29"/>
      <c r="BH1897" s="12"/>
      <c r="BI1897" s="12"/>
      <c r="BJ1897" s="12"/>
    </row>
    <row r="1898" spans="53:62" x14ac:dyDescent="0.25">
      <c r="BA1898" s="12"/>
      <c r="BB1898" s="30"/>
      <c r="BC1898" s="33"/>
      <c r="BD1898" s="33"/>
      <c r="BE1898" s="33"/>
      <c r="BF1898" s="29"/>
      <c r="BG1898" s="29"/>
      <c r="BH1898" s="12"/>
      <c r="BI1898" s="12"/>
      <c r="BJ1898" s="12"/>
    </row>
    <row r="1899" spans="53:62" x14ac:dyDescent="0.25">
      <c r="BA1899" s="12"/>
      <c r="BB1899" s="30"/>
      <c r="BC1899" s="33"/>
      <c r="BD1899" s="33"/>
      <c r="BE1899" s="33"/>
      <c r="BF1899" s="29"/>
      <c r="BG1899" s="29"/>
      <c r="BH1899" s="12"/>
      <c r="BI1899" s="12"/>
      <c r="BJ1899" s="12"/>
    </row>
    <row r="1900" spans="53:62" x14ac:dyDescent="0.25">
      <c r="BA1900" s="12"/>
      <c r="BB1900" s="30"/>
      <c r="BC1900" s="33"/>
      <c r="BD1900" s="33"/>
      <c r="BE1900" s="33"/>
      <c r="BF1900" s="29"/>
      <c r="BG1900" s="29"/>
      <c r="BH1900" s="12"/>
      <c r="BI1900" s="12"/>
      <c r="BJ1900" s="12"/>
    </row>
    <row r="1901" spans="53:62" x14ac:dyDescent="0.25">
      <c r="BA1901" s="12"/>
      <c r="BB1901" s="30"/>
      <c r="BC1901" s="33"/>
      <c r="BD1901" s="33"/>
      <c r="BE1901" s="33"/>
      <c r="BF1901" s="29"/>
      <c r="BG1901" s="29"/>
      <c r="BH1901" s="12"/>
      <c r="BI1901" s="12"/>
      <c r="BJ1901" s="12"/>
    </row>
    <row r="1902" spans="53:62" x14ac:dyDescent="0.25">
      <c r="BA1902" s="12"/>
      <c r="BB1902" s="30"/>
      <c r="BC1902" s="33"/>
      <c r="BD1902" s="33"/>
      <c r="BE1902" s="33"/>
      <c r="BF1902" s="29"/>
      <c r="BG1902" s="29"/>
      <c r="BH1902" s="12"/>
      <c r="BI1902" s="12"/>
      <c r="BJ1902" s="12"/>
    </row>
    <row r="1903" spans="53:62" x14ac:dyDescent="0.25">
      <c r="BA1903" s="12"/>
      <c r="BB1903" s="30"/>
      <c r="BC1903" s="33"/>
      <c r="BD1903" s="33"/>
      <c r="BE1903" s="33"/>
      <c r="BF1903" s="29"/>
      <c r="BG1903" s="29"/>
      <c r="BH1903" s="12"/>
      <c r="BI1903" s="12"/>
      <c r="BJ1903" s="12"/>
    </row>
    <row r="1904" spans="53:62" x14ac:dyDescent="0.25">
      <c r="BA1904" s="12"/>
      <c r="BB1904" s="30"/>
      <c r="BC1904" s="33"/>
      <c r="BD1904" s="33"/>
      <c r="BE1904" s="33"/>
      <c r="BF1904" s="29"/>
      <c r="BG1904" s="29"/>
      <c r="BH1904" s="12"/>
      <c r="BI1904" s="12"/>
      <c r="BJ1904" s="12"/>
    </row>
    <row r="1905" spans="53:62" x14ac:dyDescent="0.25">
      <c r="BA1905" s="12"/>
      <c r="BB1905" s="30"/>
      <c r="BC1905" s="33"/>
      <c r="BD1905" s="33"/>
      <c r="BE1905" s="33"/>
      <c r="BF1905" s="29"/>
      <c r="BG1905" s="29"/>
      <c r="BH1905" s="12"/>
      <c r="BI1905" s="12"/>
      <c r="BJ1905" s="12"/>
    </row>
    <row r="1906" spans="53:62" x14ac:dyDescent="0.25">
      <c r="BA1906" s="12"/>
      <c r="BB1906" s="30"/>
      <c r="BC1906" s="33"/>
      <c r="BD1906" s="33"/>
      <c r="BE1906" s="33"/>
      <c r="BF1906" s="29"/>
      <c r="BG1906" s="29"/>
      <c r="BH1906" s="12"/>
      <c r="BI1906" s="12"/>
      <c r="BJ1906" s="12"/>
    </row>
    <row r="1907" spans="53:62" x14ac:dyDescent="0.25">
      <c r="BA1907" s="12"/>
      <c r="BB1907" s="30"/>
      <c r="BC1907" s="33"/>
      <c r="BD1907" s="33"/>
      <c r="BE1907" s="33"/>
      <c r="BF1907" s="29"/>
      <c r="BG1907" s="29"/>
      <c r="BH1907" s="12"/>
      <c r="BI1907" s="12"/>
      <c r="BJ1907" s="12"/>
    </row>
    <row r="1908" spans="53:62" x14ac:dyDescent="0.25">
      <c r="BA1908" s="12"/>
      <c r="BB1908" s="30"/>
      <c r="BC1908" s="33"/>
      <c r="BD1908" s="33"/>
      <c r="BE1908" s="33"/>
      <c r="BF1908" s="29"/>
      <c r="BG1908" s="29"/>
      <c r="BH1908" s="12"/>
      <c r="BI1908" s="12"/>
      <c r="BJ1908" s="12"/>
    </row>
    <row r="1909" spans="53:62" x14ac:dyDescent="0.25">
      <c r="BA1909" s="12"/>
      <c r="BB1909" s="30"/>
      <c r="BC1909" s="33"/>
      <c r="BD1909" s="33"/>
      <c r="BE1909" s="33"/>
      <c r="BF1909" s="29"/>
      <c r="BG1909" s="29"/>
      <c r="BH1909" s="12"/>
      <c r="BI1909" s="12"/>
      <c r="BJ1909" s="12"/>
    </row>
    <row r="1910" spans="53:62" x14ac:dyDescent="0.25">
      <c r="BA1910" s="12"/>
      <c r="BB1910" s="30"/>
      <c r="BC1910" s="33"/>
      <c r="BD1910" s="33"/>
      <c r="BE1910" s="33"/>
      <c r="BF1910" s="29"/>
      <c r="BG1910" s="29"/>
      <c r="BH1910" s="12"/>
      <c r="BI1910" s="12"/>
      <c r="BJ1910" s="12"/>
    </row>
    <row r="1911" spans="53:62" x14ac:dyDescent="0.25">
      <c r="BA1911" s="12"/>
      <c r="BB1911" s="30"/>
      <c r="BC1911" s="33"/>
      <c r="BD1911" s="33"/>
      <c r="BE1911" s="33"/>
      <c r="BF1911" s="29"/>
      <c r="BG1911" s="29"/>
      <c r="BH1911" s="12"/>
      <c r="BI1911" s="12"/>
      <c r="BJ1911" s="12"/>
    </row>
    <row r="1912" spans="53:62" x14ac:dyDescent="0.25">
      <c r="BA1912" s="12"/>
      <c r="BB1912" s="30"/>
      <c r="BC1912" s="33"/>
      <c r="BD1912" s="33"/>
      <c r="BE1912" s="33"/>
      <c r="BF1912" s="29"/>
      <c r="BG1912" s="29"/>
      <c r="BH1912" s="12"/>
      <c r="BI1912" s="12"/>
      <c r="BJ1912" s="12"/>
    </row>
    <row r="1913" spans="53:62" x14ac:dyDescent="0.25">
      <c r="BA1913" s="12"/>
      <c r="BB1913" s="30"/>
      <c r="BC1913" s="33"/>
      <c r="BD1913" s="33"/>
      <c r="BE1913" s="33"/>
      <c r="BF1913" s="29"/>
      <c r="BG1913" s="29"/>
      <c r="BH1913" s="12"/>
      <c r="BI1913" s="12"/>
      <c r="BJ1913" s="12"/>
    </row>
    <row r="1914" spans="53:62" x14ac:dyDescent="0.25">
      <c r="BA1914" s="12"/>
      <c r="BB1914" s="30"/>
      <c r="BC1914" s="33"/>
      <c r="BD1914" s="33"/>
      <c r="BE1914" s="33"/>
      <c r="BF1914" s="29"/>
      <c r="BG1914" s="29"/>
      <c r="BH1914" s="12"/>
      <c r="BI1914" s="12"/>
      <c r="BJ1914" s="12"/>
    </row>
    <row r="1915" spans="53:62" x14ac:dyDescent="0.25">
      <c r="BA1915" s="12"/>
      <c r="BB1915" s="30"/>
      <c r="BC1915" s="33"/>
      <c r="BD1915" s="33"/>
      <c r="BE1915" s="33"/>
      <c r="BF1915" s="29"/>
      <c r="BG1915" s="29"/>
      <c r="BH1915" s="12"/>
      <c r="BI1915" s="12"/>
      <c r="BJ1915" s="12"/>
    </row>
    <row r="1916" spans="53:62" x14ac:dyDescent="0.25">
      <c r="BA1916" s="12"/>
      <c r="BB1916" s="30"/>
      <c r="BC1916" s="33"/>
      <c r="BD1916" s="33"/>
      <c r="BE1916" s="33"/>
      <c r="BF1916" s="29"/>
      <c r="BG1916" s="29"/>
      <c r="BH1916" s="12"/>
      <c r="BI1916" s="12"/>
      <c r="BJ1916" s="12"/>
    </row>
    <row r="1917" spans="53:62" x14ac:dyDescent="0.25">
      <c r="BA1917" s="12"/>
      <c r="BB1917" s="30"/>
      <c r="BC1917" s="33"/>
      <c r="BD1917" s="33"/>
      <c r="BE1917" s="33"/>
      <c r="BF1917" s="29"/>
      <c r="BG1917" s="29"/>
      <c r="BH1917" s="12"/>
      <c r="BI1917" s="12"/>
      <c r="BJ1917" s="12"/>
    </row>
    <row r="1918" spans="53:62" x14ac:dyDescent="0.25">
      <c r="BA1918" s="12"/>
      <c r="BB1918" s="30"/>
      <c r="BC1918" s="33"/>
      <c r="BD1918" s="33"/>
      <c r="BE1918" s="33"/>
      <c r="BF1918" s="29"/>
      <c r="BG1918" s="29"/>
      <c r="BH1918" s="12"/>
      <c r="BI1918" s="12"/>
      <c r="BJ1918" s="12"/>
    </row>
    <row r="1919" spans="53:62" x14ac:dyDescent="0.25">
      <c r="BA1919" s="12"/>
      <c r="BB1919" s="30"/>
      <c r="BC1919" s="33"/>
      <c r="BD1919" s="33"/>
      <c r="BE1919" s="33"/>
      <c r="BF1919" s="29"/>
      <c r="BG1919" s="29"/>
      <c r="BH1919" s="12"/>
      <c r="BI1919" s="12"/>
      <c r="BJ1919" s="12"/>
    </row>
    <row r="1920" spans="53:62" x14ac:dyDescent="0.25">
      <c r="BA1920" s="12"/>
      <c r="BB1920" s="30"/>
      <c r="BC1920" s="33"/>
      <c r="BD1920" s="33"/>
      <c r="BE1920" s="33"/>
      <c r="BF1920" s="29"/>
      <c r="BG1920" s="29"/>
      <c r="BH1920" s="12"/>
      <c r="BI1920" s="12"/>
      <c r="BJ1920" s="12"/>
    </row>
    <row r="1921" spans="53:62" x14ac:dyDescent="0.25">
      <c r="BA1921" s="12"/>
      <c r="BB1921" s="30"/>
      <c r="BC1921" s="33"/>
      <c r="BD1921" s="33"/>
      <c r="BE1921" s="33"/>
      <c r="BF1921" s="29"/>
      <c r="BG1921" s="29"/>
      <c r="BH1921" s="12"/>
      <c r="BI1921" s="12"/>
      <c r="BJ1921" s="12"/>
    </row>
    <row r="1922" spans="53:62" x14ac:dyDescent="0.25">
      <c r="BA1922" s="12"/>
      <c r="BB1922" s="30"/>
      <c r="BC1922" s="33"/>
      <c r="BD1922" s="33"/>
      <c r="BE1922" s="33"/>
      <c r="BF1922" s="29"/>
      <c r="BG1922" s="29"/>
      <c r="BH1922" s="12"/>
      <c r="BI1922" s="12"/>
      <c r="BJ1922" s="12"/>
    </row>
    <row r="1923" spans="53:62" x14ac:dyDescent="0.25">
      <c r="BA1923" s="12"/>
      <c r="BB1923" s="30"/>
      <c r="BC1923" s="33"/>
      <c r="BD1923" s="33"/>
      <c r="BE1923" s="33"/>
      <c r="BF1923" s="29"/>
      <c r="BG1923" s="29"/>
      <c r="BH1923" s="12"/>
      <c r="BI1923" s="12"/>
      <c r="BJ1923" s="12"/>
    </row>
    <row r="1924" spans="53:62" x14ac:dyDescent="0.25">
      <c r="BA1924" s="12"/>
      <c r="BB1924" s="30"/>
      <c r="BC1924" s="33"/>
      <c r="BD1924" s="33"/>
      <c r="BE1924" s="33"/>
      <c r="BF1924" s="29"/>
      <c r="BG1924" s="29"/>
      <c r="BH1924" s="12"/>
      <c r="BI1924" s="12"/>
      <c r="BJ1924" s="12"/>
    </row>
    <row r="1925" spans="53:62" x14ac:dyDescent="0.25">
      <c r="BA1925" s="12"/>
      <c r="BB1925" s="30"/>
      <c r="BC1925" s="33"/>
      <c r="BD1925" s="33"/>
      <c r="BE1925" s="33"/>
      <c r="BF1925" s="29"/>
      <c r="BG1925" s="29"/>
      <c r="BH1925" s="12"/>
      <c r="BI1925" s="12"/>
      <c r="BJ1925" s="12"/>
    </row>
    <row r="1926" spans="53:62" x14ac:dyDescent="0.25">
      <c r="BA1926" s="12"/>
      <c r="BB1926" s="30"/>
      <c r="BC1926" s="33"/>
      <c r="BD1926" s="33"/>
      <c r="BE1926" s="33"/>
      <c r="BF1926" s="29"/>
      <c r="BG1926" s="29"/>
      <c r="BH1926" s="12"/>
      <c r="BI1926" s="12"/>
      <c r="BJ1926" s="12"/>
    </row>
    <row r="1927" spans="53:62" x14ac:dyDescent="0.25">
      <c r="BA1927" s="12"/>
      <c r="BB1927" s="30"/>
      <c r="BC1927" s="33"/>
      <c r="BD1927" s="33"/>
      <c r="BE1927" s="33"/>
      <c r="BF1927" s="29"/>
      <c r="BG1927" s="29"/>
      <c r="BH1927" s="12"/>
      <c r="BI1927" s="12"/>
      <c r="BJ1927" s="12"/>
    </row>
    <row r="1928" spans="53:62" x14ac:dyDescent="0.25">
      <c r="BA1928" s="12"/>
      <c r="BB1928" s="30"/>
      <c r="BC1928" s="33"/>
      <c r="BD1928" s="33"/>
      <c r="BE1928" s="33"/>
      <c r="BF1928" s="29"/>
      <c r="BG1928" s="29"/>
      <c r="BH1928" s="12"/>
      <c r="BI1928" s="12"/>
      <c r="BJ1928" s="12"/>
    </row>
    <row r="1929" spans="53:62" x14ac:dyDescent="0.25">
      <c r="BA1929" s="12"/>
      <c r="BB1929" s="30"/>
      <c r="BC1929" s="33"/>
      <c r="BD1929" s="33"/>
      <c r="BE1929" s="33"/>
      <c r="BF1929" s="29"/>
      <c r="BG1929" s="29"/>
      <c r="BH1929" s="12"/>
      <c r="BI1929" s="12"/>
      <c r="BJ1929" s="12"/>
    </row>
    <row r="1930" spans="53:62" x14ac:dyDescent="0.25">
      <c r="BA1930" s="12"/>
      <c r="BB1930" s="30"/>
      <c r="BC1930" s="33"/>
      <c r="BD1930" s="33"/>
      <c r="BE1930" s="33"/>
      <c r="BF1930" s="29"/>
      <c r="BG1930" s="29"/>
      <c r="BH1930" s="12"/>
      <c r="BI1930" s="12"/>
      <c r="BJ1930" s="12"/>
    </row>
    <row r="1931" spans="53:62" x14ac:dyDescent="0.25">
      <c r="BA1931" s="12"/>
      <c r="BB1931" s="30"/>
      <c r="BC1931" s="33"/>
      <c r="BD1931" s="33"/>
      <c r="BE1931" s="33"/>
      <c r="BF1931" s="29"/>
      <c r="BG1931" s="29"/>
      <c r="BH1931" s="12"/>
      <c r="BI1931" s="12"/>
      <c r="BJ1931" s="12"/>
    </row>
    <row r="1932" spans="53:62" x14ac:dyDescent="0.25">
      <c r="BA1932" s="12"/>
      <c r="BB1932" s="30"/>
      <c r="BC1932" s="33"/>
      <c r="BD1932" s="33"/>
      <c r="BE1932" s="33"/>
      <c r="BF1932" s="29"/>
      <c r="BG1932" s="29"/>
      <c r="BH1932" s="12"/>
      <c r="BI1932" s="12"/>
      <c r="BJ1932" s="12"/>
    </row>
    <row r="1933" spans="53:62" x14ac:dyDescent="0.25">
      <c r="BA1933" s="12"/>
      <c r="BB1933" s="30"/>
      <c r="BC1933" s="33"/>
      <c r="BD1933" s="33"/>
      <c r="BE1933" s="33"/>
      <c r="BF1933" s="29"/>
      <c r="BG1933" s="29"/>
      <c r="BH1933" s="12"/>
      <c r="BI1933" s="12"/>
      <c r="BJ1933" s="12"/>
    </row>
    <row r="1934" spans="53:62" x14ac:dyDescent="0.25">
      <c r="BA1934" s="12"/>
      <c r="BB1934" s="30"/>
      <c r="BC1934" s="33"/>
      <c r="BD1934" s="33"/>
      <c r="BE1934" s="33"/>
      <c r="BF1934" s="29"/>
      <c r="BG1934" s="29"/>
      <c r="BH1934" s="12"/>
      <c r="BI1934" s="12"/>
      <c r="BJ1934" s="12"/>
    </row>
    <row r="1935" spans="53:62" x14ac:dyDescent="0.25">
      <c r="BA1935" s="12"/>
      <c r="BB1935" s="30"/>
      <c r="BC1935" s="33"/>
      <c r="BD1935" s="33"/>
      <c r="BE1935" s="33"/>
      <c r="BF1935" s="29"/>
      <c r="BG1935" s="29"/>
      <c r="BH1935" s="12"/>
      <c r="BI1935" s="12"/>
      <c r="BJ1935" s="12"/>
    </row>
    <row r="1936" spans="53:62" x14ac:dyDescent="0.25">
      <c r="BA1936" s="12"/>
      <c r="BB1936" s="30"/>
      <c r="BC1936" s="33"/>
      <c r="BD1936" s="33"/>
      <c r="BE1936" s="33"/>
      <c r="BF1936" s="29"/>
      <c r="BG1936" s="29"/>
      <c r="BH1936" s="12"/>
      <c r="BI1936" s="12"/>
      <c r="BJ1936" s="12"/>
    </row>
    <row r="1937" spans="53:62" x14ac:dyDescent="0.25">
      <c r="BA1937" s="12"/>
      <c r="BB1937" s="30"/>
      <c r="BC1937" s="33"/>
      <c r="BD1937" s="33"/>
      <c r="BE1937" s="33"/>
      <c r="BF1937" s="29"/>
      <c r="BG1937" s="29"/>
      <c r="BH1937" s="12"/>
      <c r="BI1937" s="12"/>
      <c r="BJ1937" s="12"/>
    </row>
    <row r="1938" spans="53:62" x14ac:dyDescent="0.25">
      <c r="BA1938" s="12"/>
      <c r="BB1938" s="30"/>
      <c r="BC1938" s="33"/>
      <c r="BD1938" s="33"/>
      <c r="BE1938" s="33"/>
      <c r="BF1938" s="29"/>
      <c r="BG1938" s="29"/>
      <c r="BH1938" s="12"/>
      <c r="BI1938" s="12"/>
      <c r="BJ1938" s="12"/>
    </row>
    <row r="1939" spans="53:62" x14ac:dyDescent="0.25">
      <c r="BA1939" s="12"/>
      <c r="BB1939" s="30"/>
      <c r="BC1939" s="33"/>
      <c r="BD1939" s="33"/>
      <c r="BE1939" s="33"/>
      <c r="BF1939" s="29"/>
      <c r="BG1939" s="29"/>
      <c r="BH1939" s="12"/>
      <c r="BI1939" s="12"/>
      <c r="BJ1939" s="12"/>
    </row>
    <row r="1940" spans="53:62" x14ac:dyDescent="0.25">
      <c r="BA1940" s="12"/>
      <c r="BB1940" s="30"/>
      <c r="BC1940" s="33"/>
      <c r="BD1940" s="33"/>
      <c r="BE1940" s="33"/>
      <c r="BF1940" s="29"/>
      <c r="BG1940" s="29"/>
      <c r="BH1940" s="12"/>
      <c r="BI1940" s="12"/>
      <c r="BJ1940" s="12"/>
    </row>
    <row r="1941" spans="53:62" x14ac:dyDescent="0.25">
      <c r="BA1941" s="12"/>
      <c r="BB1941" s="30"/>
      <c r="BC1941" s="33"/>
      <c r="BD1941" s="33"/>
      <c r="BE1941" s="33"/>
      <c r="BF1941" s="29"/>
      <c r="BG1941" s="29"/>
      <c r="BH1941" s="12"/>
      <c r="BI1941" s="12"/>
      <c r="BJ1941" s="12"/>
    </row>
    <row r="1942" spans="53:62" x14ac:dyDescent="0.25">
      <c r="BA1942" s="12"/>
      <c r="BB1942" s="30"/>
      <c r="BC1942" s="33"/>
      <c r="BD1942" s="33"/>
      <c r="BE1942" s="33"/>
      <c r="BF1942" s="29"/>
      <c r="BG1942" s="29"/>
      <c r="BH1942" s="12"/>
      <c r="BI1942" s="12"/>
      <c r="BJ1942" s="12"/>
    </row>
    <row r="1943" spans="53:62" x14ac:dyDescent="0.25">
      <c r="BA1943" s="12"/>
      <c r="BB1943" s="30"/>
      <c r="BC1943" s="33"/>
      <c r="BD1943" s="33"/>
      <c r="BE1943" s="33"/>
      <c r="BF1943" s="29"/>
      <c r="BG1943" s="29"/>
      <c r="BH1943" s="12"/>
      <c r="BI1943" s="12"/>
      <c r="BJ1943" s="12"/>
    </row>
    <row r="1944" spans="53:62" x14ac:dyDescent="0.25">
      <c r="BA1944" s="12"/>
      <c r="BB1944" s="30"/>
      <c r="BC1944" s="33"/>
      <c r="BD1944" s="33"/>
      <c r="BE1944" s="33"/>
      <c r="BF1944" s="29"/>
      <c r="BG1944" s="29"/>
      <c r="BH1944" s="12"/>
      <c r="BI1944" s="12"/>
      <c r="BJ1944" s="12"/>
    </row>
    <row r="1945" spans="53:62" x14ac:dyDescent="0.25">
      <c r="BA1945" s="12"/>
      <c r="BB1945" s="30"/>
      <c r="BC1945" s="33"/>
      <c r="BD1945" s="33"/>
      <c r="BE1945" s="33"/>
      <c r="BF1945" s="29"/>
      <c r="BG1945" s="29"/>
      <c r="BH1945" s="12"/>
      <c r="BI1945" s="12"/>
      <c r="BJ1945" s="12"/>
    </row>
    <row r="1946" spans="53:62" x14ac:dyDescent="0.25">
      <c r="BA1946" s="12"/>
      <c r="BB1946" s="30"/>
      <c r="BC1946" s="33"/>
      <c r="BD1946" s="33"/>
      <c r="BE1946" s="33"/>
      <c r="BF1946" s="29"/>
      <c r="BG1946" s="29"/>
      <c r="BH1946" s="12"/>
      <c r="BI1946" s="12"/>
      <c r="BJ1946" s="12"/>
    </row>
    <row r="1947" spans="53:62" x14ac:dyDescent="0.25">
      <c r="BA1947" s="12"/>
      <c r="BB1947" s="30"/>
      <c r="BC1947" s="33"/>
      <c r="BD1947" s="33"/>
      <c r="BE1947" s="33"/>
      <c r="BF1947" s="29"/>
      <c r="BG1947" s="29"/>
      <c r="BH1947" s="12"/>
      <c r="BI1947" s="12"/>
      <c r="BJ1947" s="12"/>
    </row>
    <row r="1948" spans="53:62" x14ac:dyDescent="0.25">
      <c r="BA1948" s="12"/>
      <c r="BB1948" s="30"/>
      <c r="BC1948" s="33"/>
      <c r="BD1948" s="33"/>
      <c r="BE1948" s="33"/>
      <c r="BF1948" s="29"/>
      <c r="BG1948" s="29"/>
      <c r="BH1948" s="12"/>
      <c r="BI1948" s="12"/>
      <c r="BJ1948" s="12"/>
    </row>
    <row r="1949" spans="53:62" x14ac:dyDescent="0.25">
      <c r="BA1949" s="12"/>
      <c r="BB1949" s="30"/>
      <c r="BC1949" s="33"/>
      <c r="BD1949" s="33"/>
      <c r="BE1949" s="33"/>
      <c r="BF1949" s="29"/>
      <c r="BG1949" s="29"/>
      <c r="BH1949" s="12"/>
      <c r="BI1949" s="12"/>
      <c r="BJ1949" s="12"/>
    </row>
    <row r="1950" spans="53:62" x14ac:dyDescent="0.25">
      <c r="BA1950" s="12"/>
      <c r="BB1950" s="30"/>
      <c r="BC1950" s="33"/>
      <c r="BD1950" s="33"/>
      <c r="BE1950" s="33"/>
      <c r="BF1950" s="29"/>
      <c r="BG1950" s="29"/>
      <c r="BH1950" s="12"/>
      <c r="BI1950" s="12"/>
      <c r="BJ1950" s="12"/>
    </row>
    <row r="1951" spans="53:62" x14ac:dyDescent="0.25">
      <c r="BA1951" s="12"/>
      <c r="BB1951" s="30"/>
      <c r="BC1951" s="33"/>
      <c r="BD1951" s="33"/>
      <c r="BE1951" s="33"/>
      <c r="BF1951" s="29"/>
      <c r="BG1951" s="29"/>
      <c r="BH1951" s="12"/>
      <c r="BI1951" s="12"/>
      <c r="BJ1951" s="12"/>
    </row>
    <row r="1952" spans="53:62" x14ac:dyDescent="0.25">
      <c r="BA1952" s="12"/>
      <c r="BB1952" s="30"/>
      <c r="BC1952" s="33"/>
      <c r="BD1952" s="33"/>
      <c r="BE1952" s="33"/>
      <c r="BF1952" s="29"/>
      <c r="BG1952" s="29"/>
      <c r="BH1952" s="12"/>
      <c r="BI1952" s="12"/>
      <c r="BJ1952" s="12"/>
    </row>
    <row r="1953" spans="53:62" x14ac:dyDescent="0.25">
      <c r="BA1953" s="12"/>
      <c r="BB1953" s="30"/>
      <c r="BC1953" s="33"/>
      <c r="BD1953" s="33"/>
      <c r="BE1953" s="33"/>
      <c r="BF1953" s="29"/>
      <c r="BG1953" s="29"/>
      <c r="BH1953" s="12"/>
      <c r="BI1953" s="12"/>
      <c r="BJ1953" s="12"/>
    </row>
    <row r="1954" spans="53:62" x14ac:dyDescent="0.25">
      <c r="BA1954" s="12"/>
      <c r="BB1954" s="30"/>
      <c r="BC1954" s="33"/>
      <c r="BD1954" s="33"/>
      <c r="BE1954" s="33"/>
      <c r="BF1954" s="29"/>
      <c r="BG1954" s="29"/>
      <c r="BH1954" s="12"/>
      <c r="BI1954" s="12"/>
      <c r="BJ1954" s="12"/>
    </row>
    <row r="1955" spans="53:62" x14ac:dyDescent="0.25">
      <c r="BA1955" s="12"/>
      <c r="BB1955" s="30"/>
      <c r="BC1955" s="33"/>
      <c r="BD1955" s="33"/>
      <c r="BE1955" s="33"/>
      <c r="BF1955" s="29"/>
      <c r="BG1955" s="29"/>
      <c r="BH1955" s="12"/>
      <c r="BI1955" s="12"/>
      <c r="BJ1955" s="12"/>
    </row>
    <row r="1956" spans="53:62" x14ac:dyDescent="0.25">
      <c r="BA1956" s="12"/>
      <c r="BB1956" s="30"/>
      <c r="BC1956" s="33"/>
      <c r="BD1956" s="33"/>
      <c r="BE1956" s="33"/>
      <c r="BF1956" s="29"/>
      <c r="BG1956" s="29"/>
      <c r="BH1956" s="12"/>
      <c r="BI1956" s="12"/>
      <c r="BJ1956" s="12"/>
    </row>
    <row r="1957" spans="53:62" x14ac:dyDescent="0.25">
      <c r="BA1957" s="12"/>
      <c r="BB1957" s="30"/>
      <c r="BC1957" s="33"/>
      <c r="BD1957" s="33"/>
      <c r="BE1957" s="33"/>
      <c r="BF1957" s="29"/>
      <c r="BG1957" s="29"/>
      <c r="BH1957" s="12"/>
      <c r="BI1957" s="12"/>
      <c r="BJ1957" s="12"/>
    </row>
    <row r="1958" spans="53:62" x14ac:dyDescent="0.25">
      <c r="BA1958" s="12"/>
      <c r="BB1958" s="30"/>
      <c r="BC1958" s="33"/>
      <c r="BD1958" s="33"/>
      <c r="BE1958" s="33"/>
      <c r="BF1958" s="29"/>
      <c r="BG1958" s="29"/>
      <c r="BH1958" s="12"/>
      <c r="BI1958" s="12"/>
      <c r="BJ1958" s="12"/>
    </row>
    <row r="1959" spans="53:62" x14ac:dyDescent="0.25">
      <c r="BA1959" s="12"/>
      <c r="BB1959" s="30"/>
      <c r="BC1959" s="33"/>
      <c r="BD1959" s="33"/>
      <c r="BE1959" s="33"/>
      <c r="BF1959" s="29"/>
      <c r="BG1959" s="29"/>
      <c r="BH1959" s="12"/>
      <c r="BI1959" s="12"/>
      <c r="BJ1959" s="12"/>
    </row>
    <row r="1960" spans="53:62" x14ac:dyDescent="0.25">
      <c r="BA1960" s="12"/>
      <c r="BB1960" s="30"/>
      <c r="BC1960" s="33"/>
      <c r="BD1960" s="33"/>
      <c r="BE1960" s="33"/>
      <c r="BF1960" s="29"/>
      <c r="BG1960" s="29"/>
      <c r="BH1960" s="12"/>
      <c r="BI1960" s="12"/>
      <c r="BJ1960" s="12"/>
    </row>
    <row r="1961" spans="53:62" x14ac:dyDescent="0.25">
      <c r="BA1961" s="12"/>
      <c r="BB1961" s="30"/>
      <c r="BC1961" s="33"/>
      <c r="BD1961" s="33"/>
      <c r="BE1961" s="33"/>
      <c r="BF1961" s="29"/>
      <c r="BG1961" s="29"/>
      <c r="BH1961" s="12"/>
      <c r="BI1961" s="12"/>
      <c r="BJ1961" s="12"/>
    </row>
    <row r="1962" spans="53:62" x14ac:dyDescent="0.25">
      <c r="BA1962" s="12"/>
      <c r="BB1962" s="30"/>
      <c r="BC1962" s="33"/>
      <c r="BD1962" s="33"/>
      <c r="BE1962" s="33"/>
      <c r="BF1962" s="29"/>
      <c r="BG1962" s="29"/>
      <c r="BH1962" s="12"/>
      <c r="BI1962" s="12"/>
      <c r="BJ1962" s="12"/>
    </row>
    <row r="1963" spans="53:62" x14ac:dyDescent="0.25">
      <c r="BA1963" s="12"/>
      <c r="BB1963" s="30"/>
      <c r="BC1963" s="33"/>
      <c r="BD1963" s="33"/>
      <c r="BE1963" s="33"/>
      <c r="BF1963" s="29"/>
      <c r="BG1963" s="29"/>
      <c r="BH1963" s="12"/>
      <c r="BI1963" s="12"/>
      <c r="BJ1963" s="12"/>
    </row>
    <row r="1964" spans="53:62" x14ac:dyDescent="0.25">
      <c r="BA1964" s="12"/>
      <c r="BB1964" s="30"/>
      <c r="BC1964" s="33"/>
      <c r="BD1964" s="33"/>
      <c r="BE1964" s="33"/>
      <c r="BF1964" s="29"/>
      <c r="BG1964" s="29"/>
      <c r="BH1964" s="12"/>
      <c r="BI1964" s="12"/>
      <c r="BJ1964" s="12"/>
    </row>
    <row r="1965" spans="53:62" x14ac:dyDescent="0.25">
      <c r="BA1965" s="12"/>
      <c r="BB1965" s="30"/>
      <c r="BC1965" s="33"/>
      <c r="BD1965" s="33"/>
      <c r="BE1965" s="33"/>
      <c r="BF1965" s="29"/>
      <c r="BG1965" s="29"/>
      <c r="BH1965" s="12"/>
      <c r="BI1965" s="12"/>
      <c r="BJ1965" s="12"/>
    </row>
    <row r="1966" spans="53:62" x14ac:dyDescent="0.25">
      <c r="BA1966" s="12"/>
      <c r="BB1966" s="30"/>
      <c r="BC1966" s="33"/>
      <c r="BD1966" s="33"/>
      <c r="BE1966" s="33"/>
      <c r="BF1966" s="29"/>
      <c r="BG1966" s="29"/>
      <c r="BH1966" s="12"/>
      <c r="BI1966" s="12"/>
      <c r="BJ1966" s="12"/>
    </row>
    <row r="1967" spans="53:62" x14ac:dyDescent="0.25">
      <c r="BA1967" s="12"/>
      <c r="BB1967" s="30"/>
      <c r="BC1967" s="33"/>
      <c r="BD1967" s="33"/>
      <c r="BE1967" s="33"/>
      <c r="BF1967" s="29"/>
      <c r="BG1967" s="29"/>
      <c r="BH1967" s="12"/>
      <c r="BI1967" s="12"/>
      <c r="BJ1967" s="12"/>
    </row>
    <row r="1968" spans="53:62" x14ac:dyDescent="0.25">
      <c r="BA1968" s="12"/>
      <c r="BB1968" s="30"/>
      <c r="BC1968" s="33"/>
      <c r="BD1968" s="33"/>
      <c r="BE1968" s="33"/>
      <c r="BF1968" s="29"/>
      <c r="BG1968" s="29"/>
      <c r="BH1968" s="12"/>
      <c r="BI1968" s="12"/>
      <c r="BJ1968" s="12"/>
    </row>
    <row r="1969" spans="53:62" x14ac:dyDescent="0.25">
      <c r="BA1969" s="12"/>
      <c r="BB1969" s="30"/>
      <c r="BC1969" s="33"/>
      <c r="BD1969" s="33"/>
      <c r="BE1969" s="33"/>
      <c r="BF1969" s="29"/>
      <c r="BG1969" s="29"/>
      <c r="BH1969" s="12"/>
      <c r="BI1969" s="12"/>
      <c r="BJ1969" s="12"/>
    </row>
    <row r="1970" spans="53:62" x14ac:dyDescent="0.25">
      <c r="BA1970" s="12"/>
      <c r="BB1970" s="30"/>
      <c r="BC1970" s="33"/>
      <c r="BD1970" s="33"/>
      <c r="BE1970" s="33"/>
      <c r="BF1970" s="29"/>
      <c r="BG1970" s="29"/>
      <c r="BH1970" s="12"/>
      <c r="BI1970" s="12"/>
      <c r="BJ1970" s="12"/>
    </row>
    <row r="1971" spans="53:62" x14ac:dyDescent="0.25">
      <c r="BA1971" s="12"/>
      <c r="BB1971" s="30"/>
      <c r="BC1971" s="33"/>
      <c r="BD1971" s="33"/>
      <c r="BE1971" s="33"/>
      <c r="BF1971" s="29"/>
      <c r="BG1971" s="29"/>
      <c r="BH1971" s="12"/>
      <c r="BI1971" s="12"/>
      <c r="BJ1971" s="12"/>
    </row>
    <row r="1972" spans="53:62" x14ac:dyDescent="0.25">
      <c r="BA1972" s="12"/>
      <c r="BB1972" s="30"/>
      <c r="BC1972" s="33"/>
      <c r="BD1972" s="33"/>
      <c r="BE1972" s="33"/>
      <c r="BF1972" s="29"/>
      <c r="BG1972" s="29"/>
      <c r="BH1972" s="12"/>
      <c r="BI1972" s="12"/>
      <c r="BJ1972" s="12"/>
    </row>
    <row r="1973" spans="53:62" x14ac:dyDescent="0.25">
      <c r="BA1973" s="12"/>
      <c r="BB1973" s="30"/>
      <c r="BC1973" s="33"/>
      <c r="BD1973" s="33"/>
      <c r="BE1973" s="33"/>
      <c r="BF1973" s="29"/>
      <c r="BG1973" s="29"/>
      <c r="BH1973" s="12"/>
      <c r="BI1973" s="12"/>
      <c r="BJ1973" s="12"/>
    </row>
    <row r="1974" spans="53:62" x14ac:dyDescent="0.25">
      <c r="BA1974" s="12"/>
      <c r="BB1974" s="30"/>
      <c r="BC1974" s="33"/>
      <c r="BD1974" s="33"/>
      <c r="BE1974" s="33"/>
      <c r="BF1974" s="29"/>
      <c r="BG1974" s="29"/>
      <c r="BH1974" s="12"/>
      <c r="BI1974" s="12"/>
      <c r="BJ1974" s="12"/>
    </row>
    <row r="1975" spans="53:62" x14ac:dyDescent="0.25">
      <c r="BA1975" s="12"/>
      <c r="BB1975" s="30"/>
      <c r="BC1975" s="33"/>
      <c r="BD1975" s="33"/>
      <c r="BE1975" s="33"/>
      <c r="BF1975" s="29"/>
      <c r="BG1975" s="29"/>
      <c r="BH1975" s="12"/>
      <c r="BI1975" s="12"/>
      <c r="BJ1975" s="12"/>
    </row>
    <row r="1976" spans="53:62" x14ac:dyDescent="0.25">
      <c r="BA1976" s="12"/>
      <c r="BB1976" s="30"/>
      <c r="BC1976" s="33"/>
      <c r="BD1976" s="33"/>
      <c r="BE1976" s="33"/>
      <c r="BF1976" s="29"/>
      <c r="BG1976" s="29"/>
      <c r="BH1976" s="12"/>
      <c r="BI1976" s="12"/>
      <c r="BJ1976" s="12"/>
    </row>
    <row r="1977" spans="53:62" x14ac:dyDescent="0.25">
      <c r="BA1977" s="12"/>
      <c r="BB1977" s="30"/>
      <c r="BC1977" s="33"/>
      <c r="BD1977" s="33"/>
      <c r="BE1977" s="33"/>
      <c r="BF1977" s="29"/>
      <c r="BG1977" s="29"/>
      <c r="BH1977" s="12"/>
      <c r="BI1977" s="12"/>
      <c r="BJ1977" s="12"/>
    </row>
    <row r="1978" spans="53:62" x14ac:dyDescent="0.25">
      <c r="BA1978" s="12"/>
      <c r="BB1978" s="30"/>
      <c r="BC1978" s="33"/>
      <c r="BD1978" s="33"/>
      <c r="BE1978" s="33"/>
      <c r="BF1978" s="29"/>
      <c r="BG1978" s="29"/>
      <c r="BH1978" s="12"/>
      <c r="BI1978" s="12"/>
      <c r="BJ1978" s="12"/>
    </row>
    <row r="1979" spans="53:62" x14ac:dyDescent="0.25">
      <c r="BA1979" s="12"/>
      <c r="BB1979" s="30"/>
      <c r="BC1979" s="33"/>
      <c r="BD1979" s="33"/>
      <c r="BE1979" s="33"/>
      <c r="BF1979" s="29"/>
      <c r="BG1979" s="29"/>
      <c r="BH1979" s="12"/>
      <c r="BI1979" s="12"/>
      <c r="BJ1979" s="12"/>
    </row>
    <row r="1980" spans="53:62" x14ac:dyDescent="0.25">
      <c r="BA1980" s="12"/>
      <c r="BB1980" s="30"/>
      <c r="BC1980" s="33"/>
      <c r="BD1980" s="33"/>
      <c r="BE1980" s="33"/>
      <c r="BF1980" s="29"/>
      <c r="BG1980" s="29"/>
      <c r="BH1980" s="12"/>
      <c r="BI1980" s="12"/>
      <c r="BJ1980" s="12"/>
    </row>
    <row r="1981" spans="53:62" x14ac:dyDescent="0.25">
      <c r="BA1981" s="12"/>
      <c r="BB1981" s="30"/>
      <c r="BC1981" s="33"/>
      <c r="BD1981" s="33"/>
      <c r="BE1981" s="33"/>
      <c r="BF1981" s="29"/>
      <c r="BG1981" s="29"/>
      <c r="BH1981" s="12"/>
      <c r="BI1981" s="12"/>
      <c r="BJ1981" s="12"/>
    </row>
    <row r="1982" spans="53:62" x14ac:dyDescent="0.25">
      <c r="BA1982" s="12"/>
      <c r="BB1982" s="30"/>
      <c r="BC1982" s="33"/>
      <c r="BD1982" s="33"/>
      <c r="BE1982" s="33"/>
      <c r="BF1982" s="29"/>
      <c r="BG1982" s="29"/>
      <c r="BH1982" s="12"/>
      <c r="BI1982" s="12"/>
      <c r="BJ1982" s="12"/>
    </row>
    <row r="1983" spans="53:62" x14ac:dyDescent="0.25">
      <c r="BA1983" s="12"/>
      <c r="BB1983" s="30"/>
      <c r="BC1983" s="33"/>
      <c r="BD1983" s="33"/>
      <c r="BE1983" s="33"/>
      <c r="BF1983" s="29"/>
      <c r="BG1983" s="29"/>
      <c r="BH1983" s="12"/>
      <c r="BI1983" s="12"/>
      <c r="BJ1983" s="12"/>
    </row>
    <row r="1984" spans="53:62" x14ac:dyDescent="0.25">
      <c r="BA1984" s="12"/>
      <c r="BB1984" s="30"/>
      <c r="BC1984" s="33"/>
      <c r="BD1984" s="33"/>
      <c r="BE1984" s="33"/>
      <c r="BF1984" s="29"/>
      <c r="BG1984" s="29"/>
      <c r="BH1984" s="12"/>
      <c r="BI1984" s="12"/>
      <c r="BJ1984" s="12"/>
    </row>
    <row r="1985" spans="53:62" x14ac:dyDescent="0.25">
      <c r="BA1985" s="12"/>
      <c r="BB1985" s="30"/>
      <c r="BC1985" s="33"/>
      <c r="BD1985" s="33"/>
      <c r="BE1985" s="33"/>
      <c r="BF1985" s="29"/>
      <c r="BG1985" s="29"/>
      <c r="BH1985" s="12"/>
      <c r="BI1985" s="12"/>
      <c r="BJ1985" s="12"/>
    </row>
    <row r="1986" spans="53:62" x14ac:dyDescent="0.25">
      <c r="BA1986" s="12"/>
      <c r="BB1986" s="30"/>
      <c r="BC1986" s="33"/>
      <c r="BD1986" s="33"/>
      <c r="BE1986" s="33"/>
      <c r="BF1986" s="29"/>
      <c r="BG1986" s="29"/>
      <c r="BH1986" s="12"/>
      <c r="BI1986" s="12"/>
      <c r="BJ1986" s="12"/>
    </row>
    <row r="1987" spans="53:62" x14ac:dyDescent="0.25">
      <c r="BA1987" s="12"/>
      <c r="BB1987" s="30"/>
      <c r="BC1987" s="33"/>
      <c r="BD1987" s="33"/>
      <c r="BE1987" s="33"/>
      <c r="BF1987" s="29"/>
      <c r="BG1987" s="29"/>
      <c r="BH1987" s="12"/>
      <c r="BI1987" s="12"/>
      <c r="BJ1987" s="12"/>
    </row>
    <row r="1988" spans="53:62" x14ac:dyDescent="0.25">
      <c r="BA1988" s="12"/>
      <c r="BB1988" s="30"/>
      <c r="BC1988" s="33"/>
      <c r="BD1988" s="33"/>
      <c r="BE1988" s="33"/>
      <c r="BF1988" s="29"/>
      <c r="BG1988" s="29"/>
      <c r="BH1988" s="12"/>
      <c r="BI1988" s="12"/>
      <c r="BJ1988" s="12"/>
    </row>
    <row r="1989" spans="53:62" x14ac:dyDescent="0.25">
      <c r="BA1989" s="12"/>
      <c r="BB1989" s="30"/>
      <c r="BC1989" s="33"/>
      <c r="BD1989" s="33"/>
      <c r="BE1989" s="33"/>
      <c r="BF1989" s="29"/>
      <c r="BG1989" s="29"/>
      <c r="BH1989" s="12"/>
      <c r="BI1989" s="12"/>
      <c r="BJ1989" s="12"/>
    </row>
    <row r="1990" spans="53:62" x14ac:dyDescent="0.25">
      <c r="BA1990" s="12"/>
      <c r="BB1990" s="30"/>
      <c r="BC1990" s="33"/>
      <c r="BD1990" s="33"/>
      <c r="BE1990" s="33"/>
      <c r="BF1990" s="29"/>
      <c r="BG1990" s="29"/>
      <c r="BH1990" s="12"/>
      <c r="BI1990" s="12"/>
      <c r="BJ1990" s="12"/>
    </row>
    <row r="1991" spans="53:62" x14ac:dyDescent="0.25">
      <c r="BA1991" s="12"/>
      <c r="BB1991" s="30"/>
      <c r="BC1991" s="33"/>
      <c r="BD1991" s="33"/>
      <c r="BE1991" s="33"/>
      <c r="BF1991" s="29"/>
      <c r="BG1991" s="29"/>
      <c r="BH1991" s="12"/>
      <c r="BI1991" s="12"/>
      <c r="BJ1991" s="12"/>
    </row>
    <row r="1992" spans="53:62" x14ac:dyDescent="0.25">
      <c r="BA1992" s="12"/>
      <c r="BB1992" s="30"/>
      <c r="BC1992" s="33"/>
      <c r="BD1992" s="33"/>
      <c r="BE1992" s="33"/>
      <c r="BF1992" s="29"/>
      <c r="BG1992" s="29"/>
      <c r="BH1992" s="12"/>
      <c r="BI1992" s="12"/>
      <c r="BJ1992" s="12"/>
    </row>
    <row r="1993" spans="53:62" x14ac:dyDescent="0.25">
      <c r="BA1993" s="12"/>
      <c r="BB1993" s="30"/>
      <c r="BC1993" s="33"/>
      <c r="BD1993" s="33"/>
      <c r="BE1993" s="33"/>
      <c r="BF1993" s="29"/>
      <c r="BG1993" s="29"/>
      <c r="BH1993" s="12"/>
      <c r="BI1993" s="12"/>
      <c r="BJ1993" s="12"/>
    </row>
    <row r="1994" spans="53:62" x14ac:dyDescent="0.25">
      <c r="BA1994" s="12"/>
      <c r="BB1994" s="30"/>
      <c r="BC1994" s="33"/>
      <c r="BD1994" s="33"/>
      <c r="BE1994" s="33"/>
      <c r="BF1994" s="29"/>
      <c r="BG1994" s="29"/>
      <c r="BH1994" s="12"/>
      <c r="BI1994" s="12"/>
      <c r="BJ1994" s="12"/>
    </row>
    <row r="1995" spans="53:62" x14ac:dyDescent="0.25">
      <c r="BA1995" s="12"/>
      <c r="BB1995" s="30"/>
      <c r="BC1995" s="33"/>
      <c r="BD1995" s="33"/>
      <c r="BE1995" s="33"/>
      <c r="BF1995" s="29"/>
      <c r="BG1995" s="29"/>
      <c r="BH1995" s="12"/>
      <c r="BI1995" s="12"/>
      <c r="BJ1995" s="12"/>
    </row>
    <row r="1996" spans="53:62" x14ac:dyDescent="0.25">
      <c r="BA1996" s="12"/>
      <c r="BB1996" s="30"/>
      <c r="BC1996" s="33"/>
      <c r="BD1996" s="33"/>
      <c r="BE1996" s="33"/>
      <c r="BF1996" s="29"/>
      <c r="BG1996" s="29"/>
      <c r="BH1996" s="12"/>
      <c r="BI1996" s="12"/>
      <c r="BJ1996" s="12"/>
    </row>
    <row r="1997" spans="53:62" x14ac:dyDescent="0.25">
      <c r="BA1997" s="12"/>
      <c r="BB1997" s="30"/>
      <c r="BC1997" s="33"/>
      <c r="BD1997" s="33"/>
      <c r="BE1997" s="33"/>
      <c r="BF1997" s="29"/>
      <c r="BG1997" s="29"/>
      <c r="BH1997" s="12"/>
      <c r="BI1997" s="12"/>
      <c r="BJ1997" s="12"/>
    </row>
    <row r="1998" spans="53:62" x14ac:dyDescent="0.25">
      <c r="BA1998" s="12"/>
      <c r="BB1998" s="30"/>
      <c r="BC1998" s="33"/>
      <c r="BD1998" s="33"/>
      <c r="BE1998" s="33"/>
      <c r="BF1998" s="29"/>
      <c r="BG1998" s="29"/>
      <c r="BH1998" s="12"/>
      <c r="BI1998" s="12"/>
      <c r="BJ1998" s="12"/>
    </row>
    <row r="1999" spans="53:62" x14ac:dyDescent="0.25">
      <c r="BA1999" s="12"/>
      <c r="BB1999" s="30"/>
      <c r="BC1999" s="33"/>
      <c r="BD1999" s="33"/>
      <c r="BE1999" s="33"/>
      <c r="BF1999" s="29"/>
      <c r="BG1999" s="29"/>
      <c r="BH1999" s="12"/>
      <c r="BI1999" s="12"/>
      <c r="BJ1999" s="12"/>
    </row>
    <row r="2000" spans="53:62" x14ac:dyDescent="0.25">
      <c r="BA2000" s="12"/>
      <c r="BB2000" s="30"/>
      <c r="BC2000" s="33"/>
      <c r="BD2000" s="33"/>
      <c r="BE2000" s="33"/>
      <c r="BF2000" s="29"/>
      <c r="BG2000" s="29"/>
      <c r="BH2000" s="12"/>
      <c r="BI2000" s="12"/>
      <c r="BJ2000" s="12"/>
    </row>
    <row r="2001" spans="53:62" x14ac:dyDescent="0.25">
      <c r="BA2001" s="12"/>
      <c r="BB2001" s="30"/>
      <c r="BC2001" s="33"/>
      <c r="BD2001" s="33"/>
      <c r="BE2001" s="33"/>
      <c r="BF2001" s="29"/>
      <c r="BG2001" s="29"/>
      <c r="BH2001" s="12"/>
      <c r="BI2001" s="12"/>
      <c r="BJ2001" s="12"/>
    </row>
    <row r="2002" spans="53:62" x14ac:dyDescent="0.25">
      <c r="BA2002" s="12"/>
      <c r="BB2002" s="30"/>
      <c r="BC2002" s="33"/>
      <c r="BD2002" s="33"/>
      <c r="BE2002" s="33"/>
      <c r="BF2002" s="29"/>
      <c r="BG2002" s="29"/>
      <c r="BH2002" s="12"/>
      <c r="BI2002" s="12"/>
      <c r="BJ2002" s="12"/>
    </row>
    <row r="2003" spans="53:62" x14ac:dyDescent="0.25">
      <c r="BA2003" s="12"/>
      <c r="BB2003" s="30"/>
      <c r="BC2003" s="33"/>
      <c r="BD2003" s="33"/>
      <c r="BE2003" s="33"/>
      <c r="BF2003" s="29"/>
      <c r="BG2003" s="29"/>
      <c r="BH2003" s="12"/>
      <c r="BI2003" s="12"/>
      <c r="BJ2003" s="12"/>
    </row>
    <row r="2004" spans="53:62" x14ac:dyDescent="0.25">
      <c r="BA2004" s="12"/>
      <c r="BB2004" s="30"/>
      <c r="BC2004" s="33"/>
      <c r="BD2004" s="33"/>
      <c r="BE2004" s="33"/>
      <c r="BF2004" s="29"/>
      <c r="BG2004" s="29"/>
      <c r="BH2004" s="12"/>
      <c r="BI2004" s="12"/>
      <c r="BJ2004" s="12"/>
    </row>
    <row r="2005" spans="53:62" x14ac:dyDescent="0.25">
      <c r="BA2005" s="12"/>
      <c r="BB2005" s="30"/>
      <c r="BC2005" s="33"/>
      <c r="BD2005" s="33"/>
      <c r="BE2005" s="33"/>
      <c r="BF2005" s="29"/>
      <c r="BG2005" s="29"/>
      <c r="BH2005" s="12"/>
      <c r="BI2005" s="12"/>
      <c r="BJ2005" s="12"/>
    </row>
    <row r="2006" spans="53:62" x14ac:dyDescent="0.25">
      <c r="BA2006" s="12"/>
      <c r="BB2006" s="30"/>
      <c r="BC2006" s="33"/>
      <c r="BD2006" s="33"/>
      <c r="BE2006" s="33"/>
      <c r="BF2006" s="29"/>
      <c r="BG2006" s="29"/>
      <c r="BH2006" s="12"/>
      <c r="BI2006" s="12"/>
      <c r="BJ2006" s="12"/>
    </row>
    <row r="2007" spans="53:62" x14ac:dyDescent="0.25">
      <c r="BA2007" s="12"/>
      <c r="BB2007" s="30"/>
      <c r="BC2007" s="33"/>
      <c r="BD2007" s="33"/>
      <c r="BE2007" s="33"/>
      <c r="BF2007" s="29"/>
      <c r="BG2007" s="29"/>
      <c r="BH2007" s="12"/>
      <c r="BI2007" s="12"/>
      <c r="BJ2007" s="12"/>
    </row>
    <row r="2008" spans="53:62" x14ac:dyDescent="0.25">
      <c r="BA2008" s="12"/>
      <c r="BB2008" s="30"/>
      <c r="BC2008" s="33"/>
      <c r="BD2008" s="33"/>
      <c r="BE2008" s="33"/>
      <c r="BF2008" s="29"/>
      <c r="BG2008" s="29"/>
      <c r="BH2008" s="12"/>
      <c r="BI2008" s="12"/>
      <c r="BJ2008" s="12"/>
    </row>
    <row r="2009" spans="53:62" x14ac:dyDescent="0.25">
      <c r="BA2009" s="12"/>
      <c r="BB2009" s="30"/>
      <c r="BC2009" s="33"/>
      <c r="BD2009" s="33"/>
      <c r="BE2009" s="33"/>
      <c r="BF2009" s="29"/>
      <c r="BG2009" s="29"/>
      <c r="BH2009" s="12"/>
      <c r="BI2009" s="12"/>
      <c r="BJ2009" s="12"/>
    </row>
    <row r="2010" spans="53:62" x14ac:dyDescent="0.25">
      <c r="BA2010" s="12"/>
      <c r="BB2010" s="30"/>
      <c r="BC2010" s="33"/>
      <c r="BD2010" s="33"/>
      <c r="BE2010" s="33"/>
      <c r="BF2010" s="29"/>
      <c r="BG2010" s="29"/>
      <c r="BH2010" s="12"/>
      <c r="BI2010" s="12"/>
      <c r="BJ2010" s="12"/>
    </row>
    <row r="2011" spans="53:62" x14ac:dyDescent="0.25">
      <c r="BA2011" s="12"/>
      <c r="BB2011" s="30"/>
      <c r="BC2011" s="33"/>
      <c r="BD2011" s="33"/>
      <c r="BE2011" s="33"/>
      <c r="BF2011" s="29"/>
      <c r="BG2011" s="29"/>
      <c r="BH2011" s="12"/>
      <c r="BI2011" s="12"/>
      <c r="BJ2011" s="12"/>
    </row>
    <row r="2012" spans="53:62" x14ac:dyDescent="0.25">
      <c r="BA2012" s="12"/>
      <c r="BB2012" s="30"/>
      <c r="BC2012" s="33"/>
      <c r="BD2012" s="33"/>
      <c r="BE2012" s="33"/>
      <c r="BF2012" s="29"/>
      <c r="BG2012" s="29"/>
      <c r="BH2012" s="12"/>
      <c r="BI2012" s="12"/>
      <c r="BJ2012" s="12"/>
    </row>
    <row r="2013" spans="53:62" x14ac:dyDescent="0.25">
      <c r="BA2013" s="12"/>
      <c r="BB2013" s="30"/>
      <c r="BC2013" s="33"/>
      <c r="BD2013" s="33"/>
      <c r="BE2013" s="33"/>
      <c r="BF2013" s="29"/>
      <c r="BG2013" s="29"/>
      <c r="BH2013" s="12"/>
      <c r="BI2013" s="12"/>
      <c r="BJ2013" s="12"/>
    </row>
    <row r="2014" spans="53:62" x14ac:dyDescent="0.25">
      <c r="BA2014" s="12"/>
      <c r="BB2014" s="30"/>
      <c r="BC2014" s="33"/>
      <c r="BD2014" s="33"/>
      <c r="BE2014" s="33"/>
      <c r="BF2014" s="29"/>
      <c r="BG2014" s="29"/>
      <c r="BH2014" s="12"/>
      <c r="BI2014" s="12"/>
      <c r="BJ2014" s="12"/>
    </row>
    <row r="2015" spans="53:62" x14ac:dyDescent="0.25">
      <c r="BA2015" s="12"/>
      <c r="BB2015" s="30"/>
      <c r="BC2015" s="33"/>
      <c r="BD2015" s="33"/>
      <c r="BE2015" s="33"/>
      <c r="BF2015" s="29"/>
      <c r="BG2015" s="29"/>
      <c r="BH2015" s="12"/>
      <c r="BI2015" s="12"/>
      <c r="BJ2015" s="12"/>
    </row>
    <row r="2016" spans="53:62" x14ac:dyDescent="0.25">
      <c r="BA2016" s="12"/>
      <c r="BB2016" s="30"/>
      <c r="BC2016" s="33"/>
      <c r="BD2016" s="33"/>
      <c r="BE2016" s="33"/>
      <c r="BF2016" s="29"/>
      <c r="BG2016" s="29"/>
      <c r="BH2016" s="12"/>
      <c r="BI2016" s="12"/>
      <c r="BJ2016" s="12"/>
    </row>
    <row r="2017" spans="53:62" x14ac:dyDescent="0.25">
      <c r="BA2017" s="12"/>
      <c r="BB2017" s="30"/>
      <c r="BC2017" s="33"/>
      <c r="BD2017" s="33"/>
      <c r="BE2017" s="33"/>
      <c r="BF2017" s="29"/>
      <c r="BG2017" s="29"/>
      <c r="BH2017" s="12"/>
      <c r="BI2017" s="12"/>
      <c r="BJ2017" s="12"/>
    </row>
    <row r="2018" spans="53:62" x14ac:dyDescent="0.25">
      <c r="BA2018" s="12"/>
      <c r="BB2018" s="30"/>
      <c r="BC2018" s="33"/>
      <c r="BD2018" s="33"/>
      <c r="BE2018" s="33"/>
      <c r="BF2018" s="29"/>
      <c r="BG2018" s="29"/>
      <c r="BH2018" s="12"/>
      <c r="BI2018" s="12"/>
      <c r="BJ2018" s="12"/>
    </row>
    <row r="2019" spans="53:62" x14ac:dyDescent="0.25">
      <c r="BA2019" s="12"/>
      <c r="BB2019" s="30"/>
      <c r="BC2019" s="33"/>
      <c r="BD2019" s="33"/>
      <c r="BE2019" s="33"/>
      <c r="BF2019" s="29"/>
      <c r="BG2019" s="29"/>
      <c r="BH2019" s="12"/>
      <c r="BI2019" s="12"/>
      <c r="BJ2019" s="12"/>
    </row>
    <row r="2020" spans="53:62" x14ac:dyDescent="0.25">
      <c r="BA2020" s="12"/>
      <c r="BB2020" s="30"/>
      <c r="BC2020" s="33"/>
      <c r="BD2020" s="33"/>
      <c r="BE2020" s="33"/>
      <c r="BF2020" s="29"/>
      <c r="BG2020" s="29"/>
      <c r="BH2020" s="12"/>
      <c r="BI2020" s="12"/>
      <c r="BJ2020" s="12"/>
    </row>
    <row r="2021" spans="53:62" x14ac:dyDescent="0.25">
      <c r="BA2021" s="12"/>
      <c r="BB2021" s="30"/>
      <c r="BC2021" s="33"/>
      <c r="BD2021" s="33"/>
      <c r="BE2021" s="33"/>
      <c r="BF2021" s="29"/>
      <c r="BG2021" s="29"/>
      <c r="BH2021" s="12"/>
      <c r="BI2021" s="12"/>
      <c r="BJ2021" s="12"/>
    </row>
    <row r="2022" spans="53:62" x14ac:dyDescent="0.25">
      <c r="BA2022" s="12"/>
      <c r="BB2022" s="30"/>
      <c r="BC2022" s="33"/>
      <c r="BD2022" s="33"/>
      <c r="BE2022" s="33"/>
      <c r="BF2022" s="29"/>
      <c r="BG2022" s="29"/>
      <c r="BH2022" s="12"/>
      <c r="BI2022" s="12"/>
      <c r="BJ2022" s="12"/>
    </row>
    <row r="2023" spans="53:62" x14ac:dyDescent="0.25">
      <c r="BA2023" s="12"/>
      <c r="BB2023" s="30"/>
      <c r="BC2023" s="33"/>
      <c r="BD2023" s="33"/>
      <c r="BE2023" s="33"/>
      <c r="BF2023" s="29"/>
      <c r="BG2023" s="29"/>
      <c r="BH2023" s="12"/>
      <c r="BI2023" s="12"/>
      <c r="BJ2023" s="12"/>
    </row>
    <row r="2024" spans="53:62" x14ac:dyDescent="0.25">
      <c r="BA2024" s="12"/>
      <c r="BB2024" s="30"/>
      <c r="BC2024" s="33"/>
      <c r="BD2024" s="33"/>
      <c r="BE2024" s="33"/>
      <c r="BF2024" s="29"/>
      <c r="BG2024" s="29"/>
      <c r="BH2024" s="12"/>
      <c r="BI2024" s="12"/>
      <c r="BJ2024" s="12"/>
    </row>
    <row r="2025" spans="53:62" x14ac:dyDescent="0.25">
      <c r="BA2025" s="12"/>
      <c r="BB2025" s="30"/>
      <c r="BC2025" s="33"/>
      <c r="BD2025" s="33"/>
      <c r="BE2025" s="33"/>
      <c r="BF2025" s="29"/>
      <c r="BG2025" s="29"/>
      <c r="BH2025" s="12"/>
      <c r="BI2025" s="12"/>
      <c r="BJ2025" s="12"/>
    </row>
    <row r="2026" spans="53:62" x14ac:dyDescent="0.25">
      <c r="BA2026" s="12"/>
      <c r="BB2026" s="30"/>
      <c r="BC2026" s="33"/>
      <c r="BD2026" s="33"/>
      <c r="BE2026" s="33"/>
      <c r="BF2026" s="29"/>
      <c r="BG2026" s="29"/>
      <c r="BH2026" s="12"/>
      <c r="BI2026" s="12"/>
      <c r="BJ2026" s="12"/>
    </row>
    <row r="2027" spans="53:62" x14ac:dyDescent="0.25">
      <c r="BA2027" s="12"/>
      <c r="BB2027" s="30"/>
      <c r="BC2027" s="33"/>
      <c r="BD2027" s="33"/>
      <c r="BE2027" s="33"/>
      <c r="BF2027" s="29"/>
      <c r="BG2027" s="29"/>
      <c r="BH2027" s="12"/>
      <c r="BI2027" s="12"/>
      <c r="BJ2027" s="12"/>
    </row>
    <row r="2028" spans="53:62" x14ac:dyDescent="0.25">
      <c r="BA2028" s="12"/>
      <c r="BB2028" s="30"/>
      <c r="BC2028" s="33"/>
      <c r="BD2028" s="33"/>
      <c r="BE2028" s="33"/>
      <c r="BF2028" s="29"/>
      <c r="BG2028" s="29"/>
      <c r="BH2028" s="12"/>
      <c r="BI2028" s="12"/>
      <c r="BJ2028" s="12"/>
    </row>
    <row r="2029" spans="53:62" x14ac:dyDescent="0.25">
      <c r="BA2029" s="12"/>
      <c r="BB2029" s="30"/>
      <c r="BC2029" s="33"/>
      <c r="BD2029" s="33"/>
      <c r="BE2029" s="33"/>
      <c r="BF2029" s="29"/>
      <c r="BG2029" s="29"/>
      <c r="BH2029" s="12"/>
      <c r="BI2029" s="12"/>
      <c r="BJ2029" s="12"/>
    </row>
    <row r="2030" spans="53:62" x14ac:dyDescent="0.25">
      <c r="BA2030" s="12"/>
      <c r="BB2030" s="30"/>
      <c r="BC2030" s="33"/>
      <c r="BD2030" s="33"/>
      <c r="BE2030" s="33"/>
      <c r="BF2030" s="29"/>
      <c r="BG2030" s="29"/>
      <c r="BH2030" s="12"/>
      <c r="BI2030" s="12"/>
      <c r="BJ2030" s="12"/>
    </row>
    <row r="2031" spans="53:62" x14ac:dyDescent="0.25">
      <c r="BA2031" s="12"/>
      <c r="BB2031" s="30"/>
      <c r="BC2031" s="33"/>
      <c r="BD2031" s="33"/>
      <c r="BE2031" s="33"/>
      <c r="BF2031" s="29"/>
      <c r="BG2031" s="29"/>
      <c r="BH2031" s="12"/>
      <c r="BI2031" s="12"/>
      <c r="BJ2031" s="12"/>
    </row>
    <row r="2032" spans="53:62" x14ac:dyDescent="0.25">
      <c r="BA2032" s="12"/>
      <c r="BB2032" s="30"/>
      <c r="BC2032" s="33"/>
      <c r="BD2032" s="33"/>
      <c r="BE2032" s="33"/>
      <c r="BF2032" s="29"/>
      <c r="BG2032" s="29"/>
      <c r="BH2032" s="12"/>
      <c r="BI2032" s="12"/>
      <c r="BJ2032" s="12"/>
    </row>
    <row r="2033" spans="53:62" x14ac:dyDescent="0.25">
      <c r="BA2033" s="12"/>
      <c r="BB2033" s="30"/>
      <c r="BC2033" s="33"/>
      <c r="BD2033" s="33"/>
      <c r="BE2033" s="33"/>
      <c r="BF2033" s="29"/>
      <c r="BG2033" s="29"/>
      <c r="BH2033" s="12"/>
      <c r="BI2033" s="12"/>
      <c r="BJ2033" s="12"/>
    </row>
    <row r="2034" spans="53:62" x14ac:dyDescent="0.25">
      <c r="BA2034" s="12"/>
      <c r="BB2034" s="30"/>
      <c r="BC2034" s="33"/>
      <c r="BD2034" s="33"/>
      <c r="BE2034" s="33"/>
      <c r="BF2034" s="29"/>
      <c r="BG2034" s="29"/>
      <c r="BH2034" s="12"/>
      <c r="BI2034" s="12"/>
      <c r="BJ2034" s="12"/>
    </row>
    <row r="2035" spans="53:62" x14ac:dyDescent="0.25">
      <c r="BA2035" s="12"/>
      <c r="BB2035" s="30"/>
      <c r="BC2035" s="33"/>
      <c r="BD2035" s="33"/>
      <c r="BE2035" s="33"/>
      <c r="BF2035" s="29"/>
      <c r="BG2035" s="29"/>
      <c r="BH2035" s="12"/>
      <c r="BI2035" s="12"/>
      <c r="BJ2035" s="12"/>
    </row>
    <row r="2036" spans="53:62" x14ac:dyDescent="0.25">
      <c r="BA2036" s="12"/>
      <c r="BB2036" s="30"/>
      <c r="BC2036" s="33"/>
      <c r="BD2036" s="33"/>
      <c r="BE2036" s="33"/>
      <c r="BF2036" s="29"/>
      <c r="BG2036" s="29"/>
      <c r="BH2036" s="12"/>
      <c r="BI2036" s="12"/>
      <c r="BJ2036" s="12"/>
    </row>
    <row r="2037" spans="53:62" x14ac:dyDescent="0.25">
      <c r="BA2037" s="12"/>
      <c r="BB2037" s="30"/>
      <c r="BC2037" s="33"/>
      <c r="BD2037" s="33"/>
      <c r="BE2037" s="33"/>
      <c r="BF2037" s="29"/>
      <c r="BG2037" s="29"/>
      <c r="BH2037" s="12"/>
      <c r="BI2037" s="12"/>
      <c r="BJ2037" s="12"/>
    </row>
    <row r="2038" spans="53:62" x14ac:dyDescent="0.25">
      <c r="BA2038" s="12"/>
      <c r="BB2038" s="30"/>
      <c r="BC2038" s="33"/>
      <c r="BD2038" s="33"/>
      <c r="BE2038" s="33"/>
      <c r="BF2038" s="29"/>
      <c r="BG2038" s="29"/>
      <c r="BH2038" s="12"/>
      <c r="BI2038" s="12"/>
      <c r="BJ2038" s="12"/>
    </row>
    <row r="2039" spans="53:62" x14ac:dyDescent="0.25">
      <c r="BA2039" s="12"/>
      <c r="BB2039" s="30"/>
      <c r="BC2039" s="33"/>
      <c r="BD2039" s="33"/>
      <c r="BE2039" s="33"/>
      <c r="BF2039" s="29"/>
      <c r="BG2039" s="29"/>
      <c r="BH2039" s="12"/>
      <c r="BI2039" s="12"/>
      <c r="BJ2039" s="12"/>
    </row>
    <row r="2040" spans="53:62" x14ac:dyDescent="0.25">
      <c r="BA2040" s="12"/>
      <c r="BB2040" s="30"/>
      <c r="BC2040" s="33"/>
      <c r="BD2040" s="33"/>
      <c r="BE2040" s="33"/>
      <c r="BF2040" s="29"/>
      <c r="BG2040" s="29"/>
      <c r="BH2040" s="12"/>
      <c r="BI2040" s="12"/>
      <c r="BJ2040" s="12"/>
    </row>
    <row r="2041" spans="53:62" x14ac:dyDescent="0.25">
      <c r="BA2041" s="12"/>
      <c r="BB2041" s="30"/>
      <c r="BC2041" s="33"/>
      <c r="BD2041" s="33"/>
      <c r="BE2041" s="33"/>
      <c r="BF2041" s="29"/>
      <c r="BG2041" s="29"/>
      <c r="BH2041" s="12"/>
      <c r="BI2041" s="12"/>
      <c r="BJ2041" s="12"/>
    </row>
    <row r="2042" spans="53:62" x14ac:dyDescent="0.25">
      <c r="BA2042" s="12"/>
      <c r="BB2042" s="30"/>
      <c r="BC2042" s="33"/>
      <c r="BD2042" s="33"/>
      <c r="BE2042" s="33"/>
      <c r="BF2042" s="29"/>
      <c r="BG2042" s="29"/>
      <c r="BH2042" s="12"/>
      <c r="BI2042" s="12"/>
      <c r="BJ2042" s="12"/>
    </row>
    <row r="2043" spans="53:62" x14ac:dyDescent="0.25">
      <c r="BA2043" s="12"/>
      <c r="BB2043" s="30"/>
      <c r="BC2043" s="33"/>
      <c r="BD2043" s="33"/>
      <c r="BE2043" s="33"/>
      <c r="BF2043" s="29"/>
      <c r="BG2043" s="29"/>
      <c r="BH2043" s="12"/>
      <c r="BI2043" s="12"/>
      <c r="BJ2043" s="12"/>
    </row>
    <row r="2044" spans="53:62" x14ac:dyDescent="0.25">
      <c r="BA2044" s="12"/>
      <c r="BB2044" s="30"/>
      <c r="BC2044" s="33"/>
      <c r="BD2044" s="33"/>
      <c r="BE2044" s="33"/>
      <c r="BF2044" s="29"/>
      <c r="BG2044" s="29"/>
      <c r="BH2044" s="12"/>
      <c r="BI2044" s="12"/>
      <c r="BJ2044" s="12"/>
    </row>
    <row r="2045" spans="53:62" x14ac:dyDescent="0.25">
      <c r="BA2045" s="12"/>
      <c r="BB2045" s="30"/>
      <c r="BC2045" s="33"/>
      <c r="BD2045" s="33"/>
      <c r="BE2045" s="33"/>
      <c r="BF2045" s="29"/>
      <c r="BG2045" s="29"/>
      <c r="BH2045" s="12"/>
      <c r="BI2045" s="12"/>
      <c r="BJ2045" s="12"/>
    </row>
    <row r="2046" spans="53:62" x14ac:dyDescent="0.25">
      <c r="BA2046" s="12"/>
      <c r="BB2046" s="30"/>
      <c r="BC2046" s="33"/>
      <c r="BD2046" s="33"/>
      <c r="BE2046" s="33"/>
      <c r="BF2046" s="29"/>
      <c r="BG2046" s="29"/>
      <c r="BH2046" s="12"/>
      <c r="BI2046" s="12"/>
      <c r="BJ2046" s="12"/>
    </row>
    <row r="2047" spans="53:62" x14ac:dyDescent="0.25">
      <c r="BA2047" s="12"/>
      <c r="BB2047" s="30"/>
      <c r="BC2047" s="33"/>
      <c r="BD2047" s="33"/>
      <c r="BE2047" s="33"/>
      <c r="BF2047" s="29"/>
      <c r="BG2047" s="29"/>
      <c r="BH2047" s="12"/>
      <c r="BI2047" s="12"/>
      <c r="BJ2047" s="12"/>
    </row>
    <row r="2048" spans="53:62" x14ac:dyDescent="0.25">
      <c r="BA2048" s="12"/>
      <c r="BB2048" s="30"/>
      <c r="BC2048" s="33"/>
      <c r="BD2048" s="33"/>
      <c r="BE2048" s="33"/>
      <c r="BF2048" s="29"/>
      <c r="BG2048" s="29"/>
      <c r="BH2048" s="12"/>
      <c r="BI2048" s="12"/>
      <c r="BJ2048" s="12"/>
    </row>
    <row r="2049" spans="53:62" x14ac:dyDescent="0.25">
      <c r="BA2049" s="12"/>
      <c r="BB2049" s="30"/>
      <c r="BC2049" s="33"/>
      <c r="BD2049" s="33"/>
      <c r="BE2049" s="33"/>
      <c r="BF2049" s="29"/>
      <c r="BG2049" s="29"/>
      <c r="BH2049" s="12"/>
      <c r="BI2049" s="12"/>
      <c r="BJ2049" s="12"/>
    </row>
    <row r="2050" spans="53:62" x14ac:dyDescent="0.25">
      <c r="BA2050" s="12"/>
      <c r="BB2050" s="30"/>
      <c r="BC2050" s="33"/>
      <c r="BD2050" s="33"/>
      <c r="BE2050" s="33"/>
      <c r="BF2050" s="29"/>
      <c r="BG2050" s="29"/>
      <c r="BH2050" s="12"/>
      <c r="BI2050" s="12"/>
      <c r="BJ2050" s="12"/>
    </row>
    <row r="2051" spans="53:62" x14ac:dyDescent="0.25">
      <c r="BA2051" s="12"/>
      <c r="BB2051" s="30"/>
      <c r="BC2051" s="33"/>
      <c r="BD2051" s="33"/>
      <c r="BE2051" s="33"/>
      <c r="BF2051" s="29"/>
      <c r="BG2051" s="29"/>
      <c r="BH2051" s="12"/>
      <c r="BI2051" s="12"/>
      <c r="BJ2051" s="12"/>
    </row>
    <row r="2052" spans="53:62" x14ac:dyDescent="0.25">
      <c r="BA2052" s="12"/>
      <c r="BB2052" s="30"/>
      <c r="BC2052" s="33"/>
      <c r="BD2052" s="33"/>
      <c r="BE2052" s="33"/>
      <c r="BF2052" s="29"/>
      <c r="BG2052" s="29"/>
      <c r="BH2052" s="12"/>
      <c r="BI2052" s="12"/>
      <c r="BJ2052" s="12"/>
    </row>
    <row r="2053" spans="53:62" x14ac:dyDescent="0.25">
      <c r="BA2053" s="12"/>
      <c r="BB2053" s="30"/>
      <c r="BC2053" s="33"/>
      <c r="BD2053" s="33"/>
      <c r="BE2053" s="33"/>
      <c r="BF2053" s="29"/>
      <c r="BG2053" s="29"/>
      <c r="BH2053" s="12"/>
      <c r="BI2053" s="12"/>
      <c r="BJ2053" s="12"/>
    </row>
    <row r="2054" spans="53:62" x14ac:dyDescent="0.25">
      <c r="BA2054" s="12"/>
      <c r="BB2054" s="30"/>
      <c r="BC2054" s="33"/>
      <c r="BD2054" s="33"/>
      <c r="BE2054" s="33"/>
      <c r="BF2054" s="29"/>
      <c r="BG2054" s="29"/>
      <c r="BH2054" s="12"/>
      <c r="BI2054" s="12"/>
      <c r="BJ2054" s="12"/>
    </row>
    <row r="2055" spans="53:62" x14ac:dyDescent="0.25">
      <c r="BA2055" s="12"/>
      <c r="BB2055" s="30"/>
      <c r="BC2055" s="33"/>
      <c r="BD2055" s="33"/>
      <c r="BE2055" s="33"/>
      <c r="BF2055" s="29"/>
      <c r="BG2055" s="29"/>
      <c r="BH2055" s="12"/>
      <c r="BI2055" s="12"/>
      <c r="BJ2055" s="12"/>
    </row>
    <row r="2056" spans="53:62" x14ac:dyDescent="0.25">
      <c r="BA2056" s="12"/>
      <c r="BB2056" s="30"/>
      <c r="BC2056" s="33"/>
      <c r="BD2056" s="33"/>
      <c r="BE2056" s="33"/>
      <c r="BF2056" s="29"/>
      <c r="BG2056" s="29"/>
      <c r="BH2056" s="12"/>
      <c r="BI2056" s="12"/>
      <c r="BJ2056" s="12"/>
    </row>
    <row r="2057" spans="53:62" x14ac:dyDescent="0.25">
      <c r="BA2057" s="12"/>
      <c r="BB2057" s="30"/>
      <c r="BC2057" s="33"/>
      <c r="BD2057" s="33"/>
      <c r="BE2057" s="33"/>
      <c r="BF2057" s="29"/>
      <c r="BG2057" s="29"/>
      <c r="BH2057" s="12"/>
      <c r="BI2057" s="12"/>
      <c r="BJ2057" s="12"/>
    </row>
    <row r="2058" spans="53:62" x14ac:dyDescent="0.25">
      <c r="BA2058" s="12"/>
      <c r="BB2058" s="30"/>
      <c r="BC2058" s="33"/>
      <c r="BD2058" s="33"/>
      <c r="BE2058" s="33"/>
      <c r="BF2058" s="29"/>
      <c r="BG2058" s="29"/>
      <c r="BH2058" s="12"/>
      <c r="BI2058" s="12"/>
      <c r="BJ2058" s="12"/>
    </row>
    <row r="2059" spans="53:62" x14ac:dyDescent="0.25">
      <c r="BA2059" s="12"/>
      <c r="BB2059" s="30"/>
      <c r="BC2059" s="33"/>
      <c r="BD2059" s="33"/>
      <c r="BE2059" s="33"/>
      <c r="BF2059" s="29"/>
      <c r="BG2059" s="29"/>
      <c r="BH2059" s="12"/>
      <c r="BI2059" s="12"/>
      <c r="BJ2059" s="12"/>
    </row>
    <row r="2060" spans="53:62" x14ac:dyDescent="0.25">
      <c r="BA2060" s="12"/>
      <c r="BB2060" s="30"/>
      <c r="BC2060" s="33"/>
      <c r="BD2060" s="33"/>
      <c r="BE2060" s="33"/>
      <c r="BF2060" s="29"/>
      <c r="BG2060" s="29"/>
      <c r="BH2060" s="12"/>
      <c r="BI2060" s="12"/>
      <c r="BJ2060" s="12"/>
    </row>
    <row r="2061" spans="53:62" x14ac:dyDescent="0.25">
      <c r="BA2061" s="12"/>
      <c r="BB2061" s="30"/>
      <c r="BC2061" s="33"/>
      <c r="BD2061" s="33"/>
      <c r="BE2061" s="33"/>
      <c r="BF2061" s="29"/>
      <c r="BG2061" s="29"/>
      <c r="BH2061" s="12"/>
      <c r="BI2061" s="12"/>
      <c r="BJ2061" s="12"/>
    </row>
    <row r="2062" spans="53:62" x14ac:dyDescent="0.25">
      <c r="BA2062" s="12"/>
      <c r="BB2062" s="30"/>
      <c r="BC2062" s="33"/>
      <c r="BD2062" s="33"/>
      <c r="BE2062" s="33"/>
      <c r="BF2062" s="29"/>
      <c r="BG2062" s="29"/>
      <c r="BH2062" s="12"/>
      <c r="BI2062" s="12"/>
      <c r="BJ2062" s="12"/>
    </row>
    <row r="2063" spans="53:62" x14ac:dyDescent="0.25">
      <c r="BA2063" s="12"/>
      <c r="BB2063" s="30"/>
      <c r="BC2063" s="33"/>
      <c r="BD2063" s="33"/>
      <c r="BE2063" s="33"/>
      <c r="BF2063" s="29"/>
      <c r="BG2063" s="29"/>
      <c r="BH2063" s="12"/>
      <c r="BI2063" s="12"/>
      <c r="BJ2063" s="12"/>
    </row>
    <row r="2064" spans="53:62" x14ac:dyDescent="0.25">
      <c r="BA2064" s="12"/>
      <c r="BB2064" s="30"/>
      <c r="BC2064" s="33"/>
      <c r="BD2064" s="33"/>
      <c r="BE2064" s="33"/>
      <c r="BF2064" s="29"/>
      <c r="BG2064" s="29"/>
      <c r="BH2064" s="12"/>
      <c r="BI2064" s="12"/>
      <c r="BJ2064" s="12"/>
    </row>
    <row r="2065" spans="53:62" x14ac:dyDescent="0.25">
      <c r="BA2065" s="12"/>
      <c r="BB2065" s="30"/>
      <c r="BC2065" s="33"/>
      <c r="BD2065" s="33"/>
      <c r="BE2065" s="33"/>
      <c r="BF2065" s="29"/>
      <c r="BG2065" s="29"/>
      <c r="BH2065" s="12"/>
      <c r="BI2065" s="12"/>
      <c r="BJ2065" s="12"/>
    </row>
    <row r="2066" spans="53:62" x14ac:dyDescent="0.25">
      <c r="BA2066" s="12"/>
      <c r="BB2066" s="30"/>
      <c r="BC2066" s="33"/>
      <c r="BD2066" s="33"/>
      <c r="BE2066" s="33"/>
      <c r="BF2066" s="29"/>
      <c r="BG2066" s="29"/>
      <c r="BH2066" s="12"/>
      <c r="BI2066" s="12"/>
      <c r="BJ2066" s="12"/>
    </row>
    <row r="2067" spans="53:62" x14ac:dyDescent="0.25">
      <c r="BA2067" s="12"/>
      <c r="BB2067" s="30"/>
      <c r="BC2067" s="33"/>
      <c r="BD2067" s="33"/>
      <c r="BE2067" s="33"/>
      <c r="BF2067" s="29"/>
      <c r="BG2067" s="29"/>
      <c r="BH2067" s="12"/>
      <c r="BI2067" s="12"/>
      <c r="BJ2067" s="12"/>
    </row>
    <row r="2068" spans="53:62" x14ac:dyDescent="0.25">
      <c r="BA2068" s="12"/>
      <c r="BB2068" s="30"/>
      <c r="BC2068" s="33"/>
      <c r="BD2068" s="33"/>
      <c r="BE2068" s="33"/>
      <c r="BF2068" s="29"/>
      <c r="BG2068" s="29"/>
      <c r="BH2068" s="12"/>
      <c r="BI2068" s="12"/>
      <c r="BJ2068" s="12"/>
    </row>
    <row r="2069" spans="53:62" x14ac:dyDescent="0.25">
      <c r="BA2069" s="12"/>
      <c r="BB2069" s="30"/>
      <c r="BC2069" s="33"/>
      <c r="BD2069" s="33"/>
      <c r="BE2069" s="33"/>
      <c r="BF2069" s="29"/>
      <c r="BG2069" s="29"/>
      <c r="BH2069" s="12"/>
      <c r="BI2069" s="12"/>
      <c r="BJ2069" s="12"/>
    </row>
    <row r="2070" spans="53:62" x14ac:dyDescent="0.25">
      <c r="BA2070" s="12"/>
      <c r="BB2070" s="30"/>
      <c r="BC2070" s="33"/>
      <c r="BD2070" s="33"/>
      <c r="BE2070" s="33"/>
      <c r="BF2070" s="29"/>
      <c r="BG2070" s="29"/>
      <c r="BH2070" s="12"/>
      <c r="BI2070" s="12"/>
      <c r="BJ2070" s="12"/>
    </row>
    <row r="2071" spans="53:62" x14ac:dyDescent="0.25">
      <c r="BA2071" s="12"/>
      <c r="BB2071" s="30"/>
      <c r="BC2071" s="33"/>
      <c r="BD2071" s="33"/>
      <c r="BE2071" s="33"/>
      <c r="BF2071" s="29"/>
      <c r="BG2071" s="29"/>
      <c r="BH2071" s="12"/>
      <c r="BI2071" s="12"/>
      <c r="BJ2071" s="12"/>
    </row>
    <row r="2072" spans="53:62" x14ac:dyDescent="0.25">
      <c r="BA2072" s="12"/>
      <c r="BB2072" s="30"/>
      <c r="BC2072" s="33"/>
      <c r="BD2072" s="33"/>
      <c r="BE2072" s="33"/>
      <c r="BF2072" s="29"/>
      <c r="BG2072" s="29"/>
      <c r="BH2072" s="12"/>
      <c r="BI2072" s="12"/>
      <c r="BJ2072" s="12"/>
    </row>
    <row r="2073" spans="53:62" x14ac:dyDescent="0.25">
      <c r="BA2073" s="12"/>
      <c r="BB2073" s="30"/>
      <c r="BC2073" s="33"/>
      <c r="BD2073" s="33"/>
      <c r="BE2073" s="33"/>
      <c r="BF2073" s="29"/>
      <c r="BG2073" s="29"/>
      <c r="BH2073" s="12"/>
      <c r="BI2073" s="12"/>
      <c r="BJ2073" s="12"/>
    </row>
    <row r="2074" spans="53:62" x14ac:dyDescent="0.25">
      <c r="BA2074" s="12"/>
      <c r="BB2074" s="30"/>
      <c r="BC2074" s="33"/>
      <c r="BD2074" s="33"/>
      <c r="BE2074" s="33"/>
      <c r="BF2074" s="29"/>
      <c r="BG2074" s="29"/>
      <c r="BH2074" s="12"/>
      <c r="BI2074" s="12"/>
      <c r="BJ2074" s="12"/>
    </row>
    <row r="2075" spans="53:62" x14ac:dyDescent="0.25">
      <c r="BA2075" s="12"/>
      <c r="BB2075" s="30"/>
      <c r="BC2075" s="33"/>
      <c r="BD2075" s="33"/>
      <c r="BE2075" s="33"/>
      <c r="BF2075" s="29"/>
      <c r="BG2075" s="29"/>
      <c r="BH2075" s="12"/>
      <c r="BI2075" s="12"/>
      <c r="BJ2075" s="12"/>
    </row>
    <row r="2076" spans="53:62" x14ac:dyDescent="0.25">
      <c r="BA2076" s="12"/>
      <c r="BB2076" s="30"/>
      <c r="BC2076" s="33"/>
      <c r="BD2076" s="33"/>
      <c r="BE2076" s="33"/>
      <c r="BF2076" s="29"/>
      <c r="BG2076" s="29"/>
      <c r="BH2076" s="12"/>
      <c r="BI2076" s="12"/>
      <c r="BJ2076" s="12"/>
    </row>
    <row r="2077" spans="53:62" x14ac:dyDescent="0.25">
      <c r="BA2077" s="12"/>
      <c r="BB2077" s="30"/>
      <c r="BC2077" s="33"/>
      <c r="BD2077" s="33"/>
      <c r="BE2077" s="33"/>
      <c r="BF2077" s="29"/>
      <c r="BG2077" s="29"/>
      <c r="BH2077" s="12"/>
      <c r="BI2077" s="12"/>
      <c r="BJ2077" s="12"/>
    </row>
    <row r="2078" spans="53:62" x14ac:dyDescent="0.25">
      <c r="BA2078" s="12"/>
      <c r="BB2078" s="30"/>
      <c r="BC2078" s="33"/>
      <c r="BD2078" s="33"/>
      <c r="BE2078" s="33"/>
      <c r="BF2078" s="29"/>
      <c r="BG2078" s="29"/>
      <c r="BH2078" s="12"/>
      <c r="BI2078" s="12"/>
      <c r="BJ2078" s="12"/>
    </row>
    <row r="2079" spans="53:62" x14ac:dyDescent="0.25">
      <c r="BA2079" s="12"/>
      <c r="BB2079" s="30"/>
      <c r="BC2079" s="33"/>
      <c r="BD2079" s="33"/>
      <c r="BE2079" s="33"/>
      <c r="BF2079" s="29"/>
      <c r="BG2079" s="29"/>
      <c r="BH2079" s="12"/>
      <c r="BI2079" s="12"/>
      <c r="BJ2079" s="12"/>
    </row>
    <row r="2080" spans="53:62" x14ac:dyDescent="0.25">
      <c r="BA2080" s="12"/>
      <c r="BB2080" s="30"/>
      <c r="BC2080" s="33"/>
      <c r="BD2080" s="33"/>
      <c r="BE2080" s="33"/>
      <c r="BF2080" s="29"/>
      <c r="BG2080" s="29"/>
      <c r="BH2080" s="12"/>
      <c r="BI2080" s="12"/>
      <c r="BJ2080" s="12"/>
    </row>
    <row r="2081" spans="53:62" x14ac:dyDescent="0.25">
      <c r="BA2081" s="12"/>
      <c r="BB2081" s="30"/>
      <c r="BC2081" s="33"/>
      <c r="BD2081" s="33"/>
      <c r="BE2081" s="33"/>
      <c r="BF2081" s="29"/>
      <c r="BG2081" s="29"/>
      <c r="BH2081" s="12"/>
      <c r="BI2081" s="12"/>
      <c r="BJ2081" s="12"/>
    </row>
    <row r="2082" spans="53:62" x14ac:dyDescent="0.25">
      <c r="BA2082" s="12"/>
      <c r="BB2082" s="30"/>
      <c r="BC2082" s="33"/>
      <c r="BD2082" s="33"/>
      <c r="BE2082" s="33"/>
      <c r="BF2082" s="29"/>
      <c r="BG2082" s="29"/>
      <c r="BH2082" s="12"/>
      <c r="BI2082" s="12"/>
      <c r="BJ2082" s="12"/>
    </row>
    <row r="2083" spans="53:62" x14ac:dyDescent="0.25">
      <c r="BA2083" s="12"/>
      <c r="BB2083" s="30"/>
      <c r="BC2083" s="33"/>
      <c r="BD2083" s="33"/>
      <c r="BE2083" s="33"/>
      <c r="BF2083" s="29"/>
      <c r="BG2083" s="29"/>
      <c r="BH2083" s="12"/>
      <c r="BI2083" s="12"/>
      <c r="BJ2083" s="12"/>
    </row>
    <row r="2084" spans="53:62" x14ac:dyDescent="0.25">
      <c r="BA2084" s="12"/>
      <c r="BB2084" s="30"/>
      <c r="BC2084" s="33"/>
      <c r="BD2084" s="33"/>
      <c r="BE2084" s="33"/>
      <c r="BF2084" s="29"/>
      <c r="BG2084" s="29"/>
      <c r="BH2084" s="12"/>
      <c r="BI2084" s="12"/>
      <c r="BJ2084" s="12"/>
    </row>
    <row r="2085" spans="53:62" x14ac:dyDescent="0.25">
      <c r="BA2085" s="12"/>
      <c r="BB2085" s="30"/>
      <c r="BC2085" s="33"/>
      <c r="BD2085" s="33"/>
      <c r="BE2085" s="33"/>
      <c r="BF2085" s="29"/>
      <c r="BG2085" s="29"/>
      <c r="BH2085" s="12"/>
      <c r="BI2085" s="12"/>
      <c r="BJ2085" s="12"/>
    </row>
    <row r="2086" spans="53:62" x14ac:dyDescent="0.25">
      <c r="BA2086" s="12"/>
      <c r="BB2086" s="30"/>
      <c r="BC2086" s="33"/>
      <c r="BD2086" s="33"/>
      <c r="BE2086" s="33"/>
      <c r="BF2086" s="29"/>
      <c r="BG2086" s="29"/>
      <c r="BH2086" s="12"/>
      <c r="BI2086" s="12"/>
      <c r="BJ2086" s="12"/>
    </row>
    <row r="2087" spans="53:62" x14ac:dyDescent="0.25">
      <c r="BA2087" s="12"/>
      <c r="BB2087" s="30"/>
      <c r="BC2087" s="33"/>
      <c r="BD2087" s="33"/>
      <c r="BE2087" s="33"/>
      <c r="BF2087" s="29"/>
      <c r="BG2087" s="29"/>
      <c r="BH2087" s="12"/>
      <c r="BI2087" s="12"/>
      <c r="BJ2087" s="12"/>
    </row>
    <row r="2088" spans="53:62" x14ac:dyDescent="0.25">
      <c r="BA2088" s="12"/>
      <c r="BB2088" s="30"/>
      <c r="BC2088" s="33"/>
      <c r="BD2088" s="33"/>
      <c r="BE2088" s="33"/>
      <c r="BF2088" s="29"/>
      <c r="BG2088" s="29"/>
      <c r="BH2088" s="12"/>
      <c r="BI2088" s="12"/>
      <c r="BJ2088" s="12"/>
    </row>
    <row r="2089" spans="53:62" x14ac:dyDescent="0.25">
      <c r="BA2089" s="12"/>
      <c r="BB2089" s="30"/>
      <c r="BC2089" s="33"/>
      <c r="BD2089" s="33"/>
      <c r="BE2089" s="33"/>
      <c r="BF2089" s="29"/>
      <c r="BG2089" s="29"/>
      <c r="BH2089" s="12"/>
      <c r="BI2089" s="12"/>
      <c r="BJ2089" s="12"/>
    </row>
    <row r="2090" spans="53:62" x14ac:dyDescent="0.25">
      <c r="BA2090" s="12"/>
      <c r="BB2090" s="30"/>
      <c r="BC2090" s="33"/>
      <c r="BD2090" s="33"/>
      <c r="BE2090" s="33"/>
      <c r="BF2090" s="29"/>
      <c r="BG2090" s="29"/>
      <c r="BH2090" s="12"/>
      <c r="BI2090" s="12"/>
      <c r="BJ2090" s="12"/>
    </row>
    <row r="2091" spans="53:62" x14ac:dyDescent="0.25">
      <c r="BA2091" s="12"/>
      <c r="BB2091" s="30"/>
      <c r="BC2091" s="33"/>
      <c r="BD2091" s="33"/>
      <c r="BE2091" s="33"/>
      <c r="BF2091" s="29"/>
      <c r="BG2091" s="29"/>
      <c r="BH2091" s="12"/>
      <c r="BI2091" s="12"/>
      <c r="BJ2091" s="12"/>
    </row>
    <row r="2092" spans="53:62" x14ac:dyDescent="0.25">
      <c r="BA2092" s="12"/>
      <c r="BB2092" s="30"/>
      <c r="BC2092" s="33"/>
      <c r="BD2092" s="33"/>
      <c r="BE2092" s="33"/>
      <c r="BF2092" s="29"/>
      <c r="BG2092" s="29"/>
      <c r="BH2092" s="12"/>
      <c r="BI2092" s="12"/>
      <c r="BJ2092" s="12"/>
    </row>
    <row r="2093" spans="53:62" x14ac:dyDescent="0.25">
      <c r="BA2093" s="12"/>
      <c r="BB2093" s="30"/>
      <c r="BC2093" s="33"/>
      <c r="BD2093" s="33"/>
      <c r="BE2093" s="33"/>
      <c r="BF2093" s="29"/>
      <c r="BG2093" s="29"/>
      <c r="BH2093" s="12"/>
      <c r="BI2093" s="12"/>
      <c r="BJ2093" s="12"/>
    </row>
    <row r="2094" spans="53:62" x14ac:dyDescent="0.25">
      <c r="BA2094" s="12"/>
      <c r="BB2094" s="30"/>
      <c r="BC2094" s="33"/>
      <c r="BD2094" s="33"/>
      <c r="BE2094" s="33"/>
      <c r="BF2094" s="29"/>
      <c r="BG2094" s="29"/>
      <c r="BH2094" s="12"/>
      <c r="BI2094" s="12"/>
      <c r="BJ2094" s="12"/>
    </row>
    <row r="2095" spans="53:62" x14ac:dyDescent="0.25">
      <c r="BA2095" s="12"/>
      <c r="BB2095" s="30"/>
      <c r="BC2095" s="33"/>
      <c r="BD2095" s="33"/>
      <c r="BE2095" s="33"/>
      <c r="BF2095" s="29"/>
      <c r="BG2095" s="29"/>
      <c r="BH2095" s="12"/>
      <c r="BI2095" s="12"/>
      <c r="BJ2095" s="12"/>
    </row>
    <row r="2096" spans="53:62" x14ac:dyDescent="0.25">
      <c r="BA2096" s="12"/>
      <c r="BB2096" s="30"/>
      <c r="BC2096" s="33"/>
      <c r="BD2096" s="33"/>
      <c r="BE2096" s="33"/>
      <c r="BF2096" s="29"/>
      <c r="BG2096" s="29"/>
      <c r="BH2096" s="12"/>
      <c r="BI2096" s="12"/>
      <c r="BJ2096" s="12"/>
    </row>
    <row r="2097" spans="53:62" x14ac:dyDescent="0.25">
      <c r="BA2097" s="12"/>
      <c r="BB2097" s="30"/>
      <c r="BC2097" s="33"/>
      <c r="BD2097" s="33"/>
      <c r="BE2097" s="33"/>
      <c r="BF2097" s="29"/>
      <c r="BG2097" s="29"/>
      <c r="BH2097" s="12"/>
      <c r="BI2097" s="12"/>
      <c r="BJ2097" s="12"/>
    </row>
    <row r="2098" spans="53:62" x14ac:dyDescent="0.25">
      <c r="BA2098" s="12"/>
      <c r="BB2098" s="30"/>
      <c r="BC2098" s="33"/>
      <c r="BD2098" s="33"/>
      <c r="BE2098" s="33"/>
      <c r="BF2098" s="29"/>
      <c r="BG2098" s="29"/>
      <c r="BH2098" s="12"/>
      <c r="BI2098" s="12"/>
      <c r="BJ2098" s="12"/>
    </row>
    <row r="2099" spans="53:62" x14ac:dyDescent="0.25">
      <c r="BA2099" s="12"/>
      <c r="BB2099" s="30"/>
      <c r="BC2099" s="33"/>
      <c r="BD2099" s="33"/>
      <c r="BE2099" s="33"/>
      <c r="BF2099" s="29"/>
      <c r="BG2099" s="29"/>
      <c r="BH2099" s="12"/>
      <c r="BI2099" s="12"/>
      <c r="BJ2099" s="12"/>
    </row>
    <row r="2100" spans="53:62" x14ac:dyDescent="0.25">
      <c r="BA2100" s="12"/>
      <c r="BB2100" s="30"/>
      <c r="BC2100" s="33"/>
      <c r="BD2100" s="33"/>
      <c r="BE2100" s="33"/>
      <c r="BF2100" s="29"/>
      <c r="BG2100" s="29"/>
      <c r="BH2100" s="12"/>
      <c r="BI2100" s="12"/>
      <c r="BJ2100" s="12"/>
    </row>
    <row r="2101" spans="53:62" x14ac:dyDescent="0.25">
      <c r="BA2101" s="12"/>
      <c r="BB2101" s="30"/>
      <c r="BC2101" s="33"/>
      <c r="BD2101" s="33"/>
      <c r="BE2101" s="33"/>
      <c r="BF2101" s="29"/>
      <c r="BG2101" s="29"/>
      <c r="BH2101" s="12"/>
      <c r="BI2101" s="12"/>
      <c r="BJ2101" s="12"/>
    </row>
    <row r="2102" spans="53:62" x14ac:dyDescent="0.25">
      <c r="BA2102" s="12"/>
      <c r="BB2102" s="30"/>
      <c r="BC2102" s="33"/>
      <c r="BD2102" s="33"/>
      <c r="BE2102" s="33"/>
      <c r="BF2102" s="29"/>
      <c r="BG2102" s="29"/>
      <c r="BH2102" s="12"/>
      <c r="BI2102" s="12"/>
      <c r="BJ2102" s="12"/>
    </row>
    <row r="2103" spans="53:62" x14ac:dyDescent="0.25">
      <c r="BA2103" s="12"/>
      <c r="BB2103" s="30"/>
      <c r="BC2103" s="33"/>
      <c r="BD2103" s="33"/>
      <c r="BE2103" s="33"/>
      <c r="BF2103" s="29"/>
      <c r="BG2103" s="29"/>
      <c r="BH2103" s="12"/>
      <c r="BI2103" s="12"/>
      <c r="BJ2103" s="12"/>
    </row>
    <row r="2104" spans="53:62" x14ac:dyDescent="0.25">
      <c r="BA2104" s="12"/>
      <c r="BB2104" s="30"/>
      <c r="BC2104" s="33"/>
      <c r="BD2104" s="33"/>
      <c r="BE2104" s="33"/>
      <c r="BF2104" s="29"/>
      <c r="BG2104" s="29"/>
      <c r="BH2104" s="12"/>
      <c r="BI2104" s="12"/>
      <c r="BJ2104" s="12"/>
    </row>
    <row r="2105" spans="53:62" x14ac:dyDescent="0.25">
      <c r="BA2105" s="12"/>
      <c r="BB2105" s="30"/>
      <c r="BC2105" s="33"/>
      <c r="BD2105" s="33"/>
      <c r="BE2105" s="33"/>
      <c r="BF2105" s="29"/>
      <c r="BG2105" s="29"/>
      <c r="BH2105" s="12"/>
      <c r="BI2105" s="12"/>
      <c r="BJ2105" s="12"/>
    </row>
    <row r="2106" spans="53:62" x14ac:dyDescent="0.25">
      <c r="BA2106" s="12"/>
      <c r="BB2106" s="30"/>
      <c r="BC2106" s="33"/>
      <c r="BD2106" s="33"/>
      <c r="BE2106" s="33"/>
      <c r="BF2106" s="29"/>
      <c r="BG2106" s="29"/>
      <c r="BH2106" s="12"/>
      <c r="BI2106" s="12"/>
      <c r="BJ2106" s="12"/>
    </row>
    <row r="2107" spans="53:62" x14ac:dyDescent="0.25">
      <c r="BA2107" s="12"/>
      <c r="BB2107" s="30"/>
      <c r="BC2107" s="33"/>
      <c r="BD2107" s="33"/>
      <c r="BE2107" s="33"/>
      <c r="BF2107" s="29"/>
      <c r="BG2107" s="29"/>
      <c r="BH2107" s="12"/>
      <c r="BI2107" s="12"/>
      <c r="BJ2107" s="12"/>
    </row>
    <row r="2108" spans="53:62" x14ac:dyDescent="0.25">
      <c r="BA2108" s="12"/>
      <c r="BB2108" s="30"/>
      <c r="BC2108" s="33"/>
      <c r="BD2108" s="33"/>
      <c r="BE2108" s="33"/>
      <c r="BF2108" s="29"/>
      <c r="BG2108" s="29"/>
      <c r="BH2108" s="12"/>
      <c r="BI2108" s="12"/>
      <c r="BJ2108" s="12"/>
    </row>
    <row r="2109" spans="53:62" x14ac:dyDescent="0.25">
      <c r="BA2109" s="12"/>
      <c r="BB2109" s="30"/>
      <c r="BC2109" s="33"/>
      <c r="BD2109" s="33"/>
      <c r="BE2109" s="33"/>
      <c r="BF2109" s="29"/>
      <c r="BG2109" s="29"/>
      <c r="BH2109" s="12"/>
      <c r="BI2109" s="12"/>
      <c r="BJ2109" s="12"/>
    </row>
    <row r="2110" spans="53:62" x14ac:dyDescent="0.25">
      <c r="BA2110" s="12"/>
      <c r="BB2110" s="30"/>
      <c r="BC2110" s="33"/>
      <c r="BD2110" s="33"/>
      <c r="BE2110" s="33"/>
      <c r="BF2110" s="29"/>
      <c r="BG2110" s="29"/>
      <c r="BH2110" s="12"/>
      <c r="BI2110" s="12"/>
      <c r="BJ2110" s="12"/>
    </row>
    <row r="2111" spans="53:62" x14ac:dyDescent="0.25">
      <c r="BA2111" s="12"/>
      <c r="BB2111" s="30"/>
      <c r="BC2111" s="33"/>
      <c r="BD2111" s="33"/>
      <c r="BE2111" s="33"/>
      <c r="BF2111" s="29"/>
      <c r="BG2111" s="29"/>
      <c r="BH2111" s="12"/>
      <c r="BI2111" s="12"/>
      <c r="BJ2111" s="12"/>
    </row>
    <row r="2112" spans="53:62" x14ac:dyDescent="0.25">
      <c r="BA2112" s="12"/>
      <c r="BB2112" s="30"/>
      <c r="BC2112" s="33"/>
      <c r="BD2112" s="33"/>
      <c r="BE2112" s="33"/>
      <c r="BF2112" s="29"/>
      <c r="BG2112" s="29"/>
      <c r="BH2112" s="12"/>
      <c r="BI2112" s="12"/>
      <c r="BJ2112" s="12"/>
    </row>
    <row r="2113" spans="53:62" x14ac:dyDescent="0.25">
      <c r="BA2113" s="12"/>
      <c r="BB2113" s="30"/>
      <c r="BC2113" s="33"/>
      <c r="BD2113" s="33"/>
      <c r="BE2113" s="33"/>
      <c r="BF2113" s="29"/>
      <c r="BG2113" s="29"/>
      <c r="BH2113" s="12"/>
      <c r="BI2113" s="12"/>
      <c r="BJ2113" s="12"/>
    </row>
    <row r="2114" spans="53:62" x14ac:dyDescent="0.25">
      <c r="BA2114" s="12"/>
      <c r="BB2114" s="30"/>
      <c r="BC2114" s="33"/>
      <c r="BD2114" s="33"/>
      <c r="BE2114" s="33"/>
      <c r="BF2114" s="29"/>
      <c r="BG2114" s="29"/>
      <c r="BH2114" s="12"/>
      <c r="BI2114" s="12"/>
      <c r="BJ2114" s="12"/>
    </row>
    <row r="2115" spans="53:62" x14ac:dyDescent="0.25">
      <c r="BA2115" s="12"/>
      <c r="BB2115" s="30"/>
      <c r="BC2115" s="33"/>
      <c r="BD2115" s="33"/>
      <c r="BE2115" s="33"/>
      <c r="BF2115" s="29"/>
      <c r="BG2115" s="29"/>
      <c r="BH2115" s="12"/>
      <c r="BI2115" s="12"/>
      <c r="BJ2115" s="12"/>
    </row>
    <row r="2116" spans="53:62" x14ac:dyDescent="0.25">
      <c r="BA2116" s="12"/>
      <c r="BB2116" s="30"/>
      <c r="BC2116" s="33"/>
      <c r="BD2116" s="33"/>
      <c r="BE2116" s="33"/>
      <c r="BF2116" s="29"/>
      <c r="BG2116" s="29"/>
      <c r="BH2116" s="12"/>
      <c r="BI2116" s="12"/>
      <c r="BJ2116" s="12"/>
    </row>
    <row r="2117" spans="53:62" x14ac:dyDescent="0.25">
      <c r="BA2117" s="12"/>
      <c r="BB2117" s="30"/>
      <c r="BC2117" s="33"/>
      <c r="BD2117" s="33"/>
      <c r="BE2117" s="33"/>
      <c r="BF2117" s="29"/>
      <c r="BG2117" s="29"/>
      <c r="BH2117" s="12"/>
      <c r="BI2117" s="12"/>
      <c r="BJ2117" s="12"/>
    </row>
    <row r="2118" spans="53:62" x14ac:dyDescent="0.25">
      <c r="BA2118" s="12"/>
      <c r="BB2118" s="30"/>
      <c r="BC2118" s="33"/>
      <c r="BD2118" s="33"/>
      <c r="BE2118" s="33"/>
      <c r="BF2118" s="29"/>
      <c r="BG2118" s="29"/>
      <c r="BH2118" s="12"/>
      <c r="BI2118" s="12"/>
      <c r="BJ2118" s="12"/>
    </row>
    <row r="2119" spans="53:62" x14ac:dyDescent="0.25">
      <c r="BA2119" s="12"/>
      <c r="BB2119" s="30"/>
      <c r="BC2119" s="33"/>
      <c r="BD2119" s="33"/>
      <c r="BE2119" s="33"/>
      <c r="BF2119" s="29"/>
      <c r="BG2119" s="29"/>
      <c r="BH2119" s="12"/>
      <c r="BI2119" s="12"/>
      <c r="BJ2119" s="12"/>
    </row>
    <row r="2120" spans="53:62" x14ac:dyDescent="0.25">
      <c r="BA2120" s="12"/>
      <c r="BB2120" s="30"/>
      <c r="BC2120" s="33"/>
      <c r="BD2120" s="33"/>
      <c r="BE2120" s="33"/>
      <c r="BF2120" s="29"/>
      <c r="BG2120" s="29"/>
      <c r="BH2120" s="12"/>
      <c r="BI2120" s="12"/>
      <c r="BJ2120" s="12"/>
    </row>
    <row r="2121" spans="53:62" x14ac:dyDescent="0.25">
      <c r="BA2121" s="12"/>
      <c r="BB2121" s="30"/>
      <c r="BC2121" s="33"/>
      <c r="BD2121" s="33"/>
      <c r="BE2121" s="33"/>
      <c r="BF2121" s="29"/>
      <c r="BG2121" s="29"/>
      <c r="BH2121" s="12"/>
      <c r="BI2121" s="12"/>
      <c r="BJ2121" s="12"/>
    </row>
    <row r="2122" spans="53:62" x14ac:dyDescent="0.25">
      <c r="BA2122" s="12"/>
      <c r="BB2122" s="30"/>
      <c r="BC2122" s="33"/>
      <c r="BD2122" s="33"/>
      <c r="BE2122" s="33"/>
      <c r="BF2122" s="29"/>
      <c r="BG2122" s="29"/>
      <c r="BH2122" s="12"/>
      <c r="BI2122" s="12"/>
      <c r="BJ2122" s="12"/>
    </row>
    <row r="2123" spans="53:62" x14ac:dyDescent="0.25">
      <c r="BA2123" s="12"/>
      <c r="BB2123" s="30"/>
      <c r="BC2123" s="33"/>
      <c r="BD2123" s="33"/>
      <c r="BE2123" s="33"/>
      <c r="BF2123" s="29"/>
      <c r="BG2123" s="29"/>
      <c r="BH2123" s="12"/>
      <c r="BI2123" s="12"/>
      <c r="BJ2123" s="12"/>
    </row>
    <row r="2124" spans="53:62" x14ac:dyDescent="0.25">
      <c r="BA2124" s="12"/>
      <c r="BB2124" s="30"/>
      <c r="BC2124" s="33"/>
      <c r="BD2124" s="33"/>
      <c r="BE2124" s="33"/>
      <c r="BF2124" s="29"/>
      <c r="BG2124" s="29"/>
      <c r="BH2124" s="12"/>
      <c r="BI2124" s="12"/>
      <c r="BJ2124" s="12"/>
    </row>
    <row r="2125" spans="53:62" x14ac:dyDescent="0.25">
      <c r="BA2125" s="12"/>
      <c r="BB2125" s="30"/>
      <c r="BC2125" s="33"/>
      <c r="BD2125" s="33"/>
      <c r="BE2125" s="33"/>
      <c r="BF2125" s="29"/>
      <c r="BG2125" s="29"/>
      <c r="BH2125" s="12"/>
      <c r="BI2125" s="12"/>
      <c r="BJ2125" s="12"/>
    </row>
    <row r="2126" spans="53:62" x14ac:dyDescent="0.25">
      <c r="BA2126" s="12"/>
      <c r="BB2126" s="30"/>
      <c r="BC2126" s="33"/>
      <c r="BD2126" s="33"/>
      <c r="BE2126" s="33"/>
      <c r="BF2126" s="29"/>
      <c r="BG2126" s="29"/>
      <c r="BH2126" s="12"/>
      <c r="BI2126" s="12"/>
      <c r="BJ2126" s="12"/>
    </row>
    <row r="2127" spans="53:62" x14ac:dyDescent="0.25">
      <c r="BA2127" s="12"/>
      <c r="BB2127" s="30"/>
      <c r="BC2127" s="33"/>
      <c r="BD2127" s="33"/>
      <c r="BE2127" s="33"/>
      <c r="BF2127" s="29"/>
      <c r="BG2127" s="29"/>
      <c r="BH2127" s="12"/>
      <c r="BI2127" s="12"/>
      <c r="BJ2127" s="12"/>
    </row>
    <row r="2128" spans="53:62" x14ac:dyDescent="0.25">
      <c r="BA2128" s="12"/>
      <c r="BB2128" s="30"/>
      <c r="BC2128" s="33"/>
      <c r="BD2128" s="33"/>
      <c r="BE2128" s="33"/>
      <c r="BF2128" s="29"/>
      <c r="BG2128" s="29"/>
      <c r="BH2128" s="12"/>
      <c r="BI2128" s="12"/>
      <c r="BJ2128" s="12"/>
    </row>
    <row r="2129" spans="53:62" x14ac:dyDescent="0.25">
      <c r="BA2129" s="12"/>
      <c r="BB2129" s="30"/>
      <c r="BC2129" s="33"/>
      <c r="BD2129" s="33"/>
      <c r="BE2129" s="33"/>
      <c r="BF2129" s="29"/>
      <c r="BG2129" s="29"/>
      <c r="BH2129" s="12"/>
      <c r="BI2129" s="12"/>
      <c r="BJ2129" s="12"/>
    </row>
    <row r="2130" spans="53:62" x14ac:dyDescent="0.25">
      <c r="BA2130" s="12"/>
      <c r="BB2130" s="30"/>
      <c r="BC2130" s="33"/>
      <c r="BD2130" s="33"/>
      <c r="BE2130" s="33"/>
      <c r="BF2130" s="29"/>
      <c r="BG2130" s="29"/>
      <c r="BH2130" s="12"/>
      <c r="BI2130" s="12"/>
      <c r="BJ2130" s="12"/>
    </row>
    <row r="2131" spans="53:62" x14ac:dyDescent="0.25">
      <c r="BA2131" s="12"/>
      <c r="BB2131" s="30"/>
      <c r="BC2131" s="33"/>
      <c r="BD2131" s="33"/>
      <c r="BE2131" s="33"/>
      <c r="BF2131" s="29"/>
      <c r="BG2131" s="29"/>
      <c r="BH2131" s="12"/>
      <c r="BI2131" s="12"/>
      <c r="BJ2131" s="12"/>
    </row>
    <row r="2132" spans="53:62" x14ac:dyDescent="0.25">
      <c r="BA2132" s="12"/>
      <c r="BB2132" s="30"/>
      <c r="BC2132" s="33"/>
      <c r="BD2132" s="33"/>
      <c r="BE2132" s="33"/>
      <c r="BF2132" s="29"/>
      <c r="BG2132" s="29"/>
      <c r="BH2132" s="12"/>
      <c r="BI2132" s="12"/>
      <c r="BJ2132" s="12"/>
    </row>
    <row r="2133" spans="53:62" x14ac:dyDescent="0.25">
      <c r="BA2133" s="12"/>
      <c r="BB2133" s="30"/>
      <c r="BC2133" s="33"/>
      <c r="BD2133" s="33"/>
      <c r="BE2133" s="33"/>
      <c r="BF2133" s="29"/>
      <c r="BG2133" s="29"/>
      <c r="BH2133" s="12"/>
      <c r="BI2133" s="12"/>
      <c r="BJ2133" s="12"/>
    </row>
    <row r="2134" spans="53:62" x14ac:dyDescent="0.25">
      <c r="BA2134" s="12"/>
      <c r="BB2134" s="30"/>
      <c r="BC2134" s="33"/>
      <c r="BD2134" s="33"/>
      <c r="BE2134" s="33"/>
      <c r="BF2134" s="29"/>
      <c r="BG2134" s="29"/>
      <c r="BH2134" s="12"/>
      <c r="BI2134" s="12"/>
      <c r="BJ2134" s="12"/>
    </row>
    <row r="2135" spans="53:62" x14ac:dyDescent="0.25">
      <c r="BA2135" s="12"/>
      <c r="BB2135" s="30"/>
      <c r="BC2135" s="33"/>
      <c r="BD2135" s="33"/>
      <c r="BE2135" s="33"/>
      <c r="BF2135" s="29"/>
      <c r="BG2135" s="29"/>
      <c r="BH2135" s="12"/>
      <c r="BI2135" s="12"/>
      <c r="BJ2135" s="12"/>
    </row>
    <row r="2136" spans="53:62" x14ac:dyDescent="0.25">
      <c r="BA2136" s="12"/>
      <c r="BB2136" s="30"/>
      <c r="BC2136" s="33"/>
      <c r="BD2136" s="33"/>
      <c r="BE2136" s="33"/>
      <c r="BF2136" s="29"/>
      <c r="BG2136" s="29"/>
      <c r="BH2136" s="12"/>
      <c r="BI2136" s="12"/>
      <c r="BJ2136" s="12"/>
    </row>
    <row r="2137" spans="53:62" x14ac:dyDescent="0.25">
      <c r="BA2137" s="12"/>
      <c r="BB2137" s="30"/>
      <c r="BC2137" s="33"/>
      <c r="BD2137" s="33"/>
      <c r="BE2137" s="33"/>
      <c r="BF2137" s="29"/>
      <c r="BG2137" s="29"/>
      <c r="BH2137" s="12"/>
      <c r="BI2137" s="12"/>
      <c r="BJ2137" s="12"/>
    </row>
    <row r="2138" spans="53:62" x14ac:dyDescent="0.25">
      <c r="BA2138" s="12"/>
      <c r="BB2138" s="30"/>
      <c r="BC2138" s="33"/>
      <c r="BD2138" s="33"/>
      <c r="BE2138" s="33"/>
      <c r="BF2138" s="29"/>
      <c r="BG2138" s="29"/>
      <c r="BH2138" s="12"/>
      <c r="BI2138" s="12"/>
      <c r="BJ2138" s="12"/>
    </row>
    <row r="2139" spans="53:62" x14ac:dyDescent="0.25">
      <c r="BA2139" s="12"/>
      <c r="BB2139" s="30"/>
      <c r="BC2139" s="33"/>
      <c r="BD2139" s="33"/>
      <c r="BE2139" s="33"/>
      <c r="BF2139" s="29"/>
      <c r="BG2139" s="29"/>
      <c r="BH2139" s="12"/>
      <c r="BI2139" s="12"/>
      <c r="BJ2139" s="12"/>
    </row>
    <row r="2140" spans="53:62" x14ac:dyDescent="0.25">
      <c r="BA2140" s="12"/>
      <c r="BB2140" s="30"/>
      <c r="BC2140" s="33"/>
      <c r="BD2140" s="33"/>
      <c r="BE2140" s="33"/>
      <c r="BF2140" s="29"/>
      <c r="BG2140" s="29"/>
      <c r="BH2140" s="12"/>
      <c r="BI2140" s="12"/>
      <c r="BJ2140" s="12"/>
    </row>
    <row r="2141" spans="53:62" x14ac:dyDescent="0.25">
      <c r="BA2141" s="12"/>
      <c r="BB2141" s="30"/>
      <c r="BC2141" s="33"/>
      <c r="BD2141" s="33"/>
      <c r="BE2141" s="33"/>
      <c r="BF2141" s="29"/>
      <c r="BG2141" s="29"/>
      <c r="BH2141" s="12"/>
      <c r="BI2141" s="12"/>
      <c r="BJ2141" s="12"/>
    </row>
    <row r="2142" spans="53:62" x14ac:dyDescent="0.25">
      <c r="BA2142" s="12"/>
      <c r="BB2142" s="30"/>
      <c r="BC2142" s="33"/>
      <c r="BD2142" s="33"/>
      <c r="BE2142" s="33"/>
      <c r="BF2142" s="29"/>
      <c r="BG2142" s="29"/>
      <c r="BH2142" s="12"/>
      <c r="BI2142" s="12"/>
      <c r="BJ2142" s="12"/>
    </row>
    <row r="2143" spans="53:62" x14ac:dyDescent="0.25">
      <c r="BA2143" s="12"/>
      <c r="BB2143" s="30"/>
      <c r="BC2143" s="33"/>
      <c r="BD2143" s="33"/>
      <c r="BE2143" s="33"/>
      <c r="BF2143" s="29"/>
      <c r="BG2143" s="29"/>
      <c r="BH2143" s="12"/>
      <c r="BI2143" s="12"/>
      <c r="BJ2143" s="12"/>
    </row>
    <row r="2144" spans="53:62" x14ac:dyDescent="0.25">
      <c r="BA2144" s="12"/>
      <c r="BB2144" s="30"/>
      <c r="BC2144" s="33"/>
      <c r="BD2144" s="33"/>
      <c r="BE2144" s="33"/>
      <c r="BF2144" s="29"/>
      <c r="BG2144" s="29"/>
      <c r="BH2144" s="12"/>
      <c r="BI2144" s="12"/>
      <c r="BJ2144" s="12"/>
    </row>
    <row r="2145" spans="53:62" x14ac:dyDescent="0.25">
      <c r="BA2145" s="12"/>
      <c r="BB2145" s="30"/>
      <c r="BC2145" s="33"/>
      <c r="BD2145" s="33"/>
      <c r="BE2145" s="33"/>
      <c r="BF2145" s="29"/>
      <c r="BG2145" s="29"/>
      <c r="BH2145" s="12"/>
      <c r="BI2145" s="12"/>
      <c r="BJ2145" s="12"/>
    </row>
    <row r="2146" spans="53:62" x14ac:dyDescent="0.25">
      <c r="BA2146" s="12"/>
      <c r="BB2146" s="30"/>
      <c r="BC2146" s="33"/>
      <c r="BD2146" s="33"/>
      <c r="BE2146" s="33"/>
      <c r="BF2146" s="29"/>
      <c r="BG2146" s="29"/>
      <c r="BH2146" s="12"/>
      <c r="BI2146" s="12"/>
      <c r="BJ2146" s="12"/>
    </row>
    <row r="2147" spans="53:62" x14ac:dyDescent="0.25">
      <c r="BA2147" s="12"/>
      <c r="BB2147" s="30"/>
      <c r="BC2147" s="33"/>
      <c r="BD2147" s="33"/>
      <c r="BE2147" s="33"/>
      <c r="BF2147" s="29"/>
      <c r="BG2147" s="29"/>
      <c r="BH2147" s="12"/>
      <c r="BI2147" s="12"/>
      <c r="BJ2147" s="12"/>
    </row>
    <row r="2148" spans="53:62" x14ac:dyDescent="0.25">
      <c r="BA2148" s="12"/>
      <c r="BB2148" s="30"/>
      <c r="BC2148" s="33"/>
      <c r="BD2148" s="33"/>
      <c r="BE2148" s="33"/>
      <c r="BF2148" s="29"/>
      <c r="BG2148" s="29"/>
      <c r="BH2148" s="12"/>
      <c r="BI2148" s="12"/>
      <c r="BJ2148" s="12"/>
    </row>
    <row r="2149" spans="53:62" x14ac:dyDescent="0.25">
      <c r="BA2149" s="12"/>
      <c r="BB2149" s="30"/>
      <c r="BC2149" s="33"/>
      <c r="BD2149" s="33"/>
      <c r="BE2149" s="33"/>
      <c r="BF2149" s="29"/>
      <c r="BG2149" s="29"/>
      <c r="BH2149" s="12"/>
      <c r="BI2149" s="12"/>
      <c r="BJ2149" s="12"/>
    </row>
    <row r="2150" spans="53:62" x14ac:dyDescent="0.25">
      <c r="BA2150" s="12"/>
      <c r="BB2150" s="30"/>
      <c r="BC2150" s="33"/>
      <c r="BD2150" s="33"/>
      <c r="BE2150" s="33"/>
      <c r="BF2150" s="29"/>
      <c r="BG2150" s="29"/>
      <c r="BH2150" s="12"/>
      <c r="BI2150" s="12"/>
      <c r="BJ2150" s="12"/>
    </row>
    <row r="2151" spans="53:62" x14ac:dyDescent="0.25">
      <c r="BA2151" s="12"/>
      <c r="BB2151" s="30"/>
      <c r="BC2151" s="33"/>
      <c r="BD2151" s="33"/>
      <c r="BE2151" s="33"/>
      <c r="BF2151" s="29"/>
      <c r="BG2151" s="29"/>
      <c r="BH2151" s="12"/>
      <c r="BI2151" s="12"/>
      <c r="BJ2151" s="12"/>
    </row>
    <row r="2152" spans="53:62" x14ac:dyDescent="0.25">
      <c r="BA2152" s="12"/>
      <c r="BB2152" s="30"/>
      <c r="BC2152" s="33"/>
      <c r="BD2152" s="33"/>
      <c r="BE2152" s="33"/>
      <c r="BF2152" s="29"/>
      <c r="BG2152" s="29"/>
      <c r="BH2152" s="12"/>
      <c r="BI2152" s="12"/>
      <c r="BJ2152" s="12"/>
    </row>
    <row r="2153" spans="53:62" x14ac:dyDescent="0.25">
      <c r="BA2153" s="12"/>
      <c r="BB2153" s="30"/>
      <c r="BC2153" s="33"/>
      <c r="BD2153" s="33"/>
      <c r="BE2153" s="33"/>
      <c r="BF2153" s="29"/>
      <c r="BG2153" s="29"/>
      <c r="BH2153" s="12"/>
      <c r="BI2153" s="12"/>
      <c r="BJ2153" s="12"/>
    </row>
    <row r="2154" spans="53:62" x14ac:dyDescent="0.25">
      <c r="BA2154" s="12"/>
      <c r="BB2154" s="30"/>
      <c r="BC2154" s="33"/>
      <c r="BD2154" s="33"/>
      <c r="BE2154" s="33"/>
      <c r="BF2154" s="29"/>
      <c r="BG2154" s="29"/>
      <c r="BH2154" s="12"/>
      <c r="BI2154" s="12"/>
      <c r="BJ2154" s="12"/>
    </row>
    <row r="2155" spans="53:62" x14ac:dyDescent="0.25">
      <c r="BA2155" s="12"/>
      <c r="BB2155" s="30"/>
      <c r="BC2155" s="33"/>
      <c r="BD2155" s="33"/>
      <c r="BE2155" s="33"/>
      <c r="BF2155" s="29"/>
      <c r="BG2155" s="29"/>
      <c r="BH2155" s="12"/>
      <c r="BI2155" s="12"/>
      <c r="BJ2155" s="12"/>
    </row>
    <row r="2156" spans="53:62" x14ac:dyDescent="0.25">
      <c r="BA2156" s="12"/>
      <c r="BB2156" s="30"/>
      <c r="BC2156" s="33"/>
      <c r="BD2156" s="33"/>
      <c r="BE2156" s="33"/>
      <c r="BF2156" s="29"/>
      <c r="BG2156" s="29"/>
      <c r="BH2156" s="12"/>
      <c r="BI2156" s="12"/>
      <c r="BJ2156" s="12"/>
    </row>
    <row r="2157" spans="53:62" x14ac:dyDescent="0.25">
      <c r="BA2157" s="12"/>
      <c r="BB2157" s="30"/>
      <c r="BC2157" s="33"/>
      <c r="BD2157" s="33"/>
      <c r="BE2157" s="33"/>
      <c r="BF2157" s="29"/>
      <c r="BG2157" s="29"/>
      <c r="BH2157" s="12"/>
      <c r="BI2157" s="12"/>
      <c r="BJ2157" s="12"/>
    </row>
    <row r="2158" spans="53:62" x14ac:dyDescent="0.25">
      <c r="BA2158" s="12"/>
      <c r="BB2158" s="30"/>
      <c r="BC2158" s="33"/>
      <c r="BD2158" s="33"/>
      <c r="BE2158" s="33"/>
      <c r="BF2158" s="29"/>
      <c r="BG2158" s="29"/>
      <c r="BH2158" s="12"/>
      <c r="BI2158" s="12"/>
      <c r="BJ2158" s="12"/>
    </row>
    <row r="2159" spans="53:62" x14ac:dyDescent="0.25">
      <c r="BA2159" s="12"/>
      <c r="BB2159" s="30"/>
      <c r="BC2159" s="33"/>
      <c r="BD2159" s="33"/>
      <c r="BE2159" s="33"/>
      <c r="BF2159" s="29"/>
      <c r="BG2159" s="29"/>
      <c r="BH2159" s="12"/>
      <c r="BI2159" s="12"/>
      <c r="BJ2159" s="12"/>
    </row>
    <row r="2160" spans="53:62" x14ac:dyDescent="0.25">
      <c r="BA2160" s="12"/>
      <c r="BB2160" s="30"/>
      <c r="BC2160" s="33"/>
      <c r="BD2160" s="33"/>
      <c r="BE2160" s="33"/>
      <c r="BF2160" s="29"/>
      <c r="BG2160" s="29"/>
      <c r="BH2160" s="12"/>
      <c r="BI2160" s="12"/>
      <c r="BJ2160" s="12"/>
    </row>
    <row r="2161" spans="53:62" x14ac:dyDescent="0.25">
      <c r="BA2161" s="12"/>
      <c r="BB2161" s="30"/>
      <c r="BC2161" s="33"/>
      <c r="BD2161" s="33"/>
      <c r="BE2161" s="33"/>
      <c r="BF2161" s="29"/>
      <c r="BG2161" s="29"/>
      <c r="BH2161" s="12"/>
      <c r="BI2161" s="12"/>
      <c r="BJ2161" s="12"/>
    </row>
    <row r="2162" spans="53:62" x14ac:dyDescent="0.25">
      <c r="BA2162" s="12"/>
      <c r="BB2162" s="30"/>
      <c r="BC2162" s="33"/>
      <c r="BD2162" s="33"/>
      <c r="BE2162" s="33"/>
      <c r="BF2162" s="29"/>
      <c r="BG2162" s="29"/>
      <c r="BH2162" s="12"/>
      <c r="BI2162" s="12"/>
      <c r="BJ2162" s="12"/>
    </row>
    <row r="2163" spans="53:62" x14ac:dyDescent="0.25">
      <c r="BA2163" s="12"/>
      <c r="BB2163" s="30"/>
      <c r="BC2163" s="33"/>
      <c r="BD2163" s="33"/>
      <c r="BE2163" s="33"/>
      <c r="BF2163" s="29"/>
      <c r="BG2163" s="29"/>
      <c r="BH2163" s="12"/>
      <c r="BI2163" s="12"/>
      <c r="BJ2163" s="12"/>
    </row>
    <row r="2164" spans="53:62" x14ac:dyDescent="0.25">
      <c r="BA2164" s="12"/>
      <c r="BB2164" s="30"/>
      <c r="BC2164" s="33"/>
      <c r="BD2164" s="33"/>
      <c r="BE2164" s="33"/>
      <c r="BF2164" s="29"/>
      <c r="BG2164" s="29"/>
      <c r="BH2164" s="12"/>
      <c r="BI2164" s="12"/>
      <c r="BJ2164" s="12"/>
    </row>
    <row r="2165" spans="53:62" x14ac:dyDescent="0.25">
      <c r="BA2165" s="12"/>
      <c r="BB2165" s="30"/>
      <c r="BC2165" s="33"/>
      <c r="BD2165" s="33"/>
      <c r="BE2165" s="33"/>
      <c r="BF2165" s="29"/>
      <c r="BG2165" s="29"/>
      <c r="BH2165" s="12"/>
      <c r="BI2165" s="12"/>
      <c r="BJ2165" s="12"/>
    </row>
    <row r="2166" spans="53:62" x14ac:dyDescent="0.25">
      <c r="BA2166" s="12"/>
      <c r="BB2166" s="30"/>
      <c r="BC2166" s="33"/>
      <c r="BD2166" s="33"/>
      <c r="BE2166" s="33"/>
      <c r="BF2166" s="29"/>
      <c r="BG2166" s="29"/>
      <c r="BH2166" s="12"/>
      <c r="BI2166" s="12"/>
      <c r="BJ2166" s="12"/>
    </row>
    <row r="2167" spans="53:62" x14ac:dyDescent="0.25">
      <c r="BA2167" s="12"/>
      <c r="BB2167" s="30"/>
      <c r="BC2167" s="33"/>
      <c r="BD2167" s="33"/>
      <c r="BE2167" s="33"/>
      <c r="BF2167" s="29"/>
      <c r="BG2167" s="29"/>
      <c r="BH2167" s="12"/>
      <c r="BI2167" s="12"/>
      <c r="BJ2167" s="12"/>
    </row>
    <row r="2168" spans="53:62" x14ac:dyDescent="0.25">
      <c r="BA2168" s="12"/>
      <c r="BB2168" s="30"/>
      <c r="BC2168" s="33"/>
      <c r="BD2168" s="33"/>
      <c r="BE2168" s="33"/>
      <c r="BF2168" s="29"/>
      <c r="BG2168" s="29"/>
      <c r="BH2168" s="12"/>
      <c r="BI2168" s="12"/>
      <c r="BJ2168" s="12"/>
    </row>
    <row r="2169" spans="53:62" x14ac:dyDescent="0.25">
      <c r="BA2169" s="12"/>
      <c r="BB2169" s="30"/>
      <c r="BC2169" s="33"/>
      <c r="BD2169" s="33"/>
      <c r="BE2169" s="33"/>
      <c r="BF2169" s="29"/>
      <c r="BG2169" s="29"/>
      <c r="BH2169" s="12"/>
      <c r="BI2169" s="12"/>
      <c r="BJ2169" s="12"/>
    </row>
    <row r="2170" spans="53:62" x14ac:dyDescent="0.25">
      <c r="BA2170" s="12"/>
      <c r="BB2170" s="30"/>
      <c r="BC2170" s="33"/>
      <c r="BD2170" s="33"/>
      <c r="BE2170" s="33"/>
      <c r="BF2170" s="29"/>
      <c r="BG2170" s="29"/>
      <c r="BH2170" s="12"/>
      <c r="BI2170" s="12"/>
      <c r="BJ2170" s="12"/>
    </row>
    <row r="2171" spans="53:62" x14ac:dyDescent="0.25">
      <c r="BA2171" s="12"/>
      <c r="BB2171" s="30"/>
      <c r="BC2171" s="33"/>
      <c r="BD2171" s="33"/>
      <c r="BE2171" s="33"/>
      <c r="BF2171" s="29"/>
      <c r="BG2171" s="29"/>
      <c r="BH2171" s="12"/>
      <c r="BI2171" s="12"/>
      <c r="BJ2171" s="12"/>
    </row>
    <row r="2172" spans="53:62" x14ac:dyDescent="0.25">
      <c r="BA2172" s="12"/>
      <c r="BB2172" s="30"/>
      <c r="BC2172" s="33"/>
      <c r="BD2172" s="33"/>
      <c r="BE2172" s="33"/>
      <c r="BF2172" s="29"/>
      <c r="BG2172" s="29"/>
      <c r="BH2172" s="12"/>
      <c r="BI2172" s="12"/>
      <c r="BJ2172" s="12"/>
    </row>
    <row r="2173" spans="53:62" x14ac:dyDescent="0.25">
      <c r="BA2173" s="12"/>
      <c r="BB2173" s="30"/>
      <c r="BC2173" s="33"/>
      <c r="BD2173" s="33"/>
      <c r="BE2173" s="33"/>
      <c r="BF2173" s="29"/>
      <c r="BG2173" s="29"/>
      <c r="BH2173" s="12"/>
      <c r="BI2173" s="12"/>
      <c r="BJ2173" s="12"/>
    </row>
    <row r="2174" spans="53:62" x14ac:dyDescent="0.25">
      <c r="BA2174" s="12"/>
      <c r="BB2174" s="30"/>
      <c r="BC2174" s="33"/>
      <c r="BD2174" s="33"/>
      <c r="BE2174" s="33"/>
      <c r="BF2174" s="29"/>
      <c r="BG2174" s="29"/>
      <c r="BH2174" s="12"/>
      <c r="BI2174" s="12"/>
      <c r="BJ2174" s="12"/>
    </row>
    <row r="2175" spans="53:62" x14ac:dyDescent="0.25">
      <c r="BA2175" s="12"/>
      <c r="BB2175" s="30"/>
      <c r="BC2175" s="33"/>
      <c r="BD2175" s="33"/>
      <c r="BE2175" s="33"/>
      <c r="BF2175" s="29"/>
      <c r="BG2175" s="29"/>
      <c r="BH2175" s="12"/>
      <c r="BI2175" s="12"/>
      <c r="BJ2175" s="12"/>
    </row>
    <row r="2176" spans="53:62" x14ac:dyDescent="0.25">
      <c r="BA2176" s="12"/>
      <c r="BB2176" s="30"/>
      <c r="BC2176" s="33"/>
      <c r="BD2176" s="33"/>
      <c r="BE2176" s="33"/>
      <c r="BF2176" s="29"/>
      <c r="BG2176" s="29"/>
      <c r="BH2176" s="12"/>
      <c r="BI2176" s="12"/>
      <c r="BJ2176" s="12"/>
    </row>
    <row r="2177" spans="53:62" x14ac:dyDescent="0.25">
      <c r="BA2177" s="12"/>
      <c r="BB2177" s="30"/>
      <c r="BC2177" s="33"/>
      <c r="BD2177" s="33"/>
      <c r="BE2177" s="33"/>
      <c r="BF2177" s="29"/>
      <c r="BG2177" s="29"/>
      <c r="BH2177" s="12"/>
      <c r="BI2177" s="12"/>
      <c r="BJ2177" s="12"/>
    </row>
    <row r="2178" spans="53:62" x14ac:dyDescent="0.25">
      <c r="BA2178" s="12"/>
      <c r="BB2178" s="30"/>
      <c r="BC2178" s="33"/>
      <c r="BD2178" s="33"/>
      <c r="BE2178" s="33"/>
      <c r="BF2178" s="29"/>
      <c r="BG2178" s="29"/>
      <c r="BH2178" s="12"/>
      <c r="BI2178" s="12"/>
      <c r="BJ2178" s="12"/>
    </row>
    <row r="2179" spans="53:62" x14ac:dyDescent="0.25">
      <c r="BA2179" s="12"/>
      <c r="BB2179" s="30"/>
      <c r="BC2179" s="33"/>
      <c r="BD2179" s="33"/>
      <c r="BE2179" s="33"/>
      <c r="BF2179" s="29"/>
      <c r="BG2179" s="29"/>
      <c r="BH2179" s="12"/>
      <c r="BI2179" s="12"/>
      <c r="BJ2179" s="12"/>
    </row>
    <row r="2180" spans="53:62" x14ac:dyDescent="0.25">
      <c r="BA2180" s="12"/>
      <c r="BB2180" s="30"/>
      <c r="BC2180" s="33"/>
      <c r="BD2180" s="33"/>
      <c r="BE2180" s="33"/>
      <c r="BF2180" s="29"/>
      <c r="BG2180" s="29"/>
      <c r="BH2180" s="12"/>
      <c r="BI2180" s="12"/>
      <c r="BJ2180" s="12"/>
    </row>
    <row r="2181" spans="53:62" x14ac:dyDescent="0.25">
      <c r="BA2181" s="12"/>
      <c r="BB2181" s="30"/>
      <c r="BC2181" s="33"/>
      <c r="BD2181" s="33"/>
      <c r="BE2181" s="33"/>
      <c r="BF2181" s="29"/>
      <c r="BG2181" s="29"/>
      <c r="BH2181" s="12"/>
      <c r="BI2181" s="12"/>
      <c r="BJ2181" s="12"/>
    </row>
    <row r="2182" spans="53:62" x14ac:dyDescent="0.25">
      <c r="BA2182" s="12"/>
      <c r="BB2182" s="30"/>
      <c r="BC2182" s="33"/>
      <c r="BD2182" s="33"/>
      <c r="BE2182" s="33"/>
      <c r="BF2182" s="29"/>
      <c r="BG2182" s="29"/>
      <c r="BH2182" s="12"/>
      <c r="BI2182" s="12"/>
      <c r="BJ2182" s="12"/>
    </row>
    <row r="2183" spans="53:62" x14ac:dyDescent="0.25">
      <c r="BA2183" s="12"/>
      <c r="BB2183" s="30"/>
      <c r="BC2183" s="33"/>
      <c r="BD2183" s="33"/>
      <c r="BE2183" s="33"/>
      <c r="BF2183" s="29"/>
      <c r="BG2183" s="29"/>
      <c r="BH2183" s="12"/>
      <c r="BI2183" s="12"/>
      <c r="BJ2183" s="12"/>
    </row>
    <row r="2184" spans="53:62" x14ac:dyDescent="0.25">
      <c r="BA2184" s="12"/>
      <c r="BB2184" s="30"/>
      <c r="BC2184" s="33"/>
      <c r="BD2184" s="33"/>
      <c r="BE2184" s="33"/>
      <c r="BF2184" s="29"/>
      <c r="BG2184" s="29"/>
      <c r="BH2184" s="12"/>
      <c r="BI2184" s="12"/>
      <c r="BJ2184" s="12"/>
    </row>
    <row r="2185" spans="53:62" x14ac:dyDescent="0.25">
      <c r="BA2185" s="12"/>
      <c r="BB2185" s="30"/>
      <c r="BC2185" s="33"/>
      <c r="BD2185" s="33"/>
      <c r="BE2185" s="33"/>
      <c r="BF2185" s="29"/>
      <c r="BG2185" s="29"/>
      <c r="BH2185" s="12"/>
      <c r="BI2185" s="12"/>
      <c r="BJ2185" s="12"/>
    </row>
    <row r="2186" spans="53:62" x14ac:dyDescent="0.25">
      <c r="BA2186" s="12"/>
      <c r="BB2186" s="30"/>
      <c r="BC2186" s="33"/>
      <c r="BD2186" s="33"/>
      <c r="BE2186" s="33"/>
      <c r="BF2186" s="29"/>
      <c r="BG2186" s="29"/>
      <c r="BH2186" s="12"/>
      <c r="BI2186" s="12"/>
      <c r="BJ2186" s="12"/>
    </row>
    <row r="2187" spans="53:62" x14ac:dyDescent="0.25">
      <c r="BA2187" s="12"/>
      <c r="BB2187" s="30"/>
      <c r="BC2187" s="33"/>
      <c r="BD2187" s="33"/>
      <c r="BE2187" s="33"/>
      <c r="BF2187" s="29"/>
      <c r="BG2187" s="29"/>
      <c r="BH2187" s="12"/>
      <c r="BI2187" s="12"/>
      <c r="BJ2187" s="12"/>
    </row>
    <row r="2188" spans="53:62" x14ac:dyDescent="0.25">
      <c r="BA2188" s="12"/>
      <c r="BB2188" s="30"/>
      <c r="BC2188" s="33"/>
      <c r="BD2188" s="33"/>
      <c r="BE2188" s="33"/>
      <c r="BF2188" s="29"/>
      <c r="BG2188" s="29"/>
      <c r="BH2188" s="12"/>
      <c r="BI2188" s="12"/>
      <c r="BJ2188" s="12"/>
    </row>
    <row r="2189" spans="53:62" x14ac:dyDescent="0.25">
      <c r="BA2189" s="12"/>
      <c r="BB2189" s="30"/>
      <c r="BC2189" s="33"/>
      <c r="BD2189" s="33"/>
      <c r="BE2189" s="33"/>
      <c r="BF2189" s="29"/>
      <c r="BG2189" s="29"/>
      <c r="BH2189" s="12"/>
      <c r="BI2189" s="12"/>
      <c r="BJ2189" s="12"/>
    </row>
    <row r="2190" spans="53:62" x14ac:dyDescent="0.25">
      <c r="BA2190" s="12"/>
      <c r="BB2190" s="30"/>
      <c r="BC2190" s="33"/>
      <c r="BD2190" s="33"/>
      <c r="BE2190" s="33"/>
      <c r="BF2190" s="29"/>
      <c r="BG2190" s="29"/>
      <c r="BH2190" s="12"/>
      <c r="BI2190" s="12"/>
      <c r="BJ2190" s="12"/>
    </row>
    <row r="2191" spans="53:62" x14ac:dyDescent="0.25">
      <c r="BA2191" s="12"/>
      <c r="BB2191" s="30"/>
      <c r="BC2191" s="33"/>
      <c r="BD2191" s="33"/>
      <c r="BE2191" s="33"/>
      <c r="BF2191" s="29"/>
      <c r="BG2191" s="29"/>
      <c r="BH2191" s="12"/>
      <c r="BI2191" s="12"/>
      <c r="BJ2191" s="12"/>
    </row>
    <row r="2192" spans="53:62" x14ac:dyDescent="0.25">
      <c r="BA2192" s="12"/>
      <c r="BB2192" s="30"/>
      <c r="BC2192" s="33"/>
      <c r="BD2192" s="33"/>
      <c r="BE2192" s="33"/>
      <c r="BF2192" s="29"/>
      <c r="BG2192" s="29"/>
      <c r="BH2192" s="12"/>
      <c r="BI2192" s="12"/>
      <c r="BJ2192" s="12"/>
    </row>
    <row r="2193" spans="53:62" x14ac:dyDescent="0.25">
      <c r="BA2193" s="12"/>
      <c r="BB2193" s="30"/>
      <c r="BC2193" s="33"/>
      <c r="BD2193" s="33"/>
      <c r="BE2193" s="33"/>
      <c r="BF2193" s="29"/>
      <c r="BG2193" s="29"/>
      <c r="BH2193" s="12"/>
      <c r="BI2193" s="12"/>
      <c r="BJ2193" s="12"/>
    </row>
    <row r="2194" spans="53:62" x14ac:dyDescent="0.25">
      <c r="BA2194" s="12"/>
      <c r="BB2194" s="30"/>
      <c r="BC2194" s="33"/>
      <c r="BD2194" s="33"/>
      <c r="BE2194" s="33"/>
      <c r="BF2194" s="29"/>
      <c r="BG2194" s="29"/>
      <c r="BH2194" s="12"/>
      <c r="BI2194" s="12"/>
      <c r="BJ2194" s="12"/>
    </row>
    <row r="2195" spans="53:62" x14ac:dyDescent="0.25">
      <c r="BA2195" s="12"/>
      <c r="BB2195" s="30"/>
      <c r="BC2195" s="33"/>
      <c r="BD2195" s="33"/>
      <c r="BE2195" s="33"/>
      <c r="BF2195" s="29"/>
      <c r="BG2195" s="29"/>
      <c r="BH2195" s="12"/>
      <c r="BI2195" s="12"/>
      <c r="BJ2195" s="12"/>
    </row>
    <row r="2196" spans="53:62" x14ac:dyDescent="0.25">
      <c r="BA2196" s="12"/>
      <c r="BB2196" s="30"/>
      <c r="BC2196" s="33"/>
      <c r="BD2196" s="33"/>
      <c r="BE2196" s="33"/>
      <c r="BF2196" s="29"/>
      <c r="BG2196" s="29"/>
      <c r="BH2196" s="12"/>
      <c r="BI2196" s="12"/>
      <c r="BJ2196" s="12"/>
    </row>
    <row r="2197" spans="53:62" x14ac:dyDescent="0.25">
      <c r="BA2197" s="12"/>
      <c r="BB2197" s="30"/>
      <c r="BC2197" s="33"/>
      <c r="BD2197" s="33"/>
      <c r="BE2197" s="33"/>
      <c r="BF2197" s="29"/>
      <c r="BG2197" s="29"/>
      <c r="BH2197" s="12"/>
      <c r="BI2197" s="12"/>
      <c r="BJ2197" s="12"/>
    </row>
    <row r="2198" spans="53:62" x14ac:dyDescent="0.25">
      <c r="BA2198" s="12"/>
      <c r="BB2198" s="30"/>
      <c r="BC2198" s="33"/>
      <c r="BD2198" s="33"/>
      <c r="BE2198" s="33"/>
      <c r="BF2198" s="29"/>
      <c r="BG2198" s="29"/>
      <c r="BH2198" s="12"/>
      <c r="BI2198" s="12"/>
      <c r="BJ2198" s="12"/>
    </row>
    <row r="2199" spans="53:62" x14ac:dyDescent="0.25">
      <c r="BA2199" s="12"/>
      <c r="BB2199" s="30"/>
      <c r="BC2199" s="33"/>
      <c r="BD2199" s="33"/>
      <c r="BE2199" s="33"/>
      <c r="BF2199" s="29"/>
      <c r="BG2199" s="29"/>
      <c r="BH2199" s="12"/>
      <c r="BI2199" s="12"/>
      <c r="BJ2199" s="12"/>
    </row>
    <row r="2200" spans="53:62" x14ac:dyDescent="0.25">
      <c r="BA2200" s="12"/>
      <c r="BB2200" s="30"/>
      <c r="BC2200" s="33"/>
      <c r="BD2200" s="33"/>
      <c r="BE2200" s="33"/>
      <c r="BF2200" s="29"/>
      <c r="BG2200" s="29"/>
      <c r="BH2200" s="12"/>
      <c r="BI2200" s="12"/>
      <c r="BJ2200" s="12"/>
    </row>
    <row r="2201" spans="53:62" x14ac:dyDescent="0.25">
      <c r="BA2201" s="12"/>
      <c r="BB2201" s="30"/>
      <c r="BC2201" s="33"/>
      <c r="BD2201" s="33"/>
      <c r="BE2201" s="33"/>
      <c r="BF2201" s="29"/>
      <c r="BG2201" s="29"/>
      <c r="BH2201" s="12"/>
      <c r="BI2201" s="12"/>
      <c r="BJ2201" s="12"/>
    </row>
    <row r="2202" spans="53:62" x14ac:dyDescent="0.25">
      <c r="BA2202" s="12"/>
      <c r="BB2202" s="30"/>
      <c r="BC2202" s="33"/>
      <c r="BD2202" s="33"/>
      <c r="BE2202" s="33"/>
      <c r="BF2202" s="29"/>
      <c r="BG2202" s="29"/>
      <c r="BH2202" s="12"/>
      <c r="BI2202" s="12"/>
      <c r="BJ2202" s="12"/>
    </row>
    <row r="2203" spans="53:62" x14ac:dyDescent="0.25">
      <c r="BA2203" s="12"/>
      <c r="BB2203" s="30"/>
      <c r="BC2203" s="33"/>
      <c r="BD2203" s="33"/>
      <c r="BE2203" s="33"/>
      <c r="BF2203" s="29"/>
      <c r="BG2203" s="29"/>
      <c r="BH2203" s="12"/>
      <c r="BI2203" s="12"/>
      <c r="BJ2203" s="12"/>
    </row>
    <row r="2204" spans="53:62" x14ac:dyDescent="0.25">
      <c r="BA2204" s="12"/>
      <c r="BB2204" s="30"/>
      <c r="BC2204" s="33"/>
      <c r="BD2204" s="33"/>
      <c r="BE2204" s="33"/>
      <c r="BF2204" s="29"/>
      <c r="BG2204" s="29"/>
      <c r="BH2204" s="12"/>
      <c r="BI2204" s="12"/>
      <c r="BJ2204" s="12"/>
    </row>
    <row r="2205" spans="53:62" x14ac:dyDescent="0.25">
      <c r="BA2205" s="12"/>
      <c r="BB2205" s="30"/>
      <c r="BC2205" s="33"/>
      <c r="BD2205" s="33"/>
      <c r="BE2205" s="33"/>
      <c r="BF2205" s="29"/>
      <c r="BG2205" s="29"/>
      <c r="BH2205" s="12"/>
      <c r="BI2205" s="12"/>
      <c r="BJ2205" s="12"/>
    </row>
    <row r="2206" spans="53:62" x14ac:dyDescent="0.25">
      <c r="BA2206" s="12"/>
      <c r="BB2206" s="30"/>
      <c r="BC2206" s="33"/>
      <c r="BD2206" s="33"/>
      <c r="BE2206" s="33"/>
      <c r="BF2206" s="29"/>
      <c r="BG2206" s="29"/>
      <c r="BH2206" s="12"/>
      <c r="BI2206" s="12"/>
      <c r="BJ2206" s="12"/>
    </row>
    <row r="2207" spans="53:62" x14ac:dyDescent="0.25">
      <c r="BA2207" s="12"/>
      <c r="BB2207" s="30"/>
      <c r="BC2207" s="33"/>
      <c r="BD2207" s="33"/>
      <c r="BE2207" s="33"/>
      <c r="BF2207" s="29"/>
      <c r="BG2207" s="29"/>
      <c r="BH2207" s="12"/>
      <c r="BI2207" s="12"/>
      <c r="BJ2207" s="12"/>
    </row>
    <row r="2208" spans="53:62" x14ac:dyDescent="0.25">
      <c r="BA2208" s="12"/>
      <c r="BB2208" s="30"/>
      <c r="BC2208" s="33"/>
      <c r="BD2208" s="33"/>
      <c r="BE2208" s="33"/>
      <c r="BF2208" s="29"/>
      <c r="BG2208" s="29"/>
      <c r="BH2208" s="12"/>
      <c r="BI2208" s="12"/>
      <c r="BJ2208" s="12"/>
    </row>
    <row r="2209" spans="53:62" x14ac:dyDescent="0.25">
      <c r="BA2209" s="12"/>
      <c r="BB2209" s="30"/>
      <c r="BC2209" s="33"/>
      <c r="BD2209" s="33"/>
      <c r="BE2209" s="33"/>
      <c r="BF2209" s="29"/>
      <c r="BG2209" s="29"/>
      <c r="BH2209" s="12"/>
      <c r="BI2209" s="12"/>
      <c r="BJ2209" s="12"/>
    </row>
    <row r="2210" spans="53:62" x14ac:dyDescent="0.25">
      <c r="BA2210" s="12"/>
      <c r="BB2210" s="30"/>
      <c r="BC2210" s="33"/>
      <c r="BD2210" s="33"/>
      <c r="BE2210" s="33"/>
      <c r="BF2210" s="29"/>
      <c r="BG2210" s="29"/>
      <c r="BH2210" s="12"/>
      <c r="BI2210" s="12"/>
      <c r="BJ2210" s="12"/>
    </row>
    <row r="2211" spans="53:62" x14ac:dyDescent="0.25">
      <c r="BA2211" s="12"/>
      <c r="BB2211" s="30"/>
      <c r="BC2211" s="33"/>
      <c r="BD2211" s="33"/>
      <c r="BE2211" s="33"/>
      <c r="BF2211" s="29"/>
      <c r="BG2211" s="29"/>
      <c r="BH2211" s="12"/>
      <c r="BI2211" s="12"/>
      <c r="BJ2211" s="12"/>
    </row>
    <row r="2212" spans="53:62" x14ac:dyDescent="0.25">
      <c r="BA2212" s="12"/>
      <c r="BB2212" s="30"/>
      <c r="BC2212" s="33"/>
      <c r="BD2212" s="33"/>
      <c r="BE2212" s="33"/>
      <c r="BF2212" s="29"/>
      <c r="BG2212" s="29"/>
      <c r="BH2212" s="12"/>
      <c r="BI2212" s="12"/>
      <c r="BJ2212" s="12"/>
    </row>
    <row r="2213" spans="53:62" x14ac:dyDescent="0.25">
      <c r="BA2213" s="12"/>
      <c r="BB2213" s="30"/>
      <c r="BC2213" s="33"/>
      <c r="BD2213" s="33"/>
      <c r="BE2213" s="33"/>
      <c r="BF2213" s="29"/>
      <c r="BG2213" s="29"/>
      <c r="BH2213" s="12"/>
      <c r="BI2213" s="12"/>
      <c r="BJ2213" s="12"/>
    </row>
    <row r="2214" spans="53:62" x14ac:dyDescent="0.25">
      <c r="BA2214" s="12"/>
      <c r="BB2214" s="30"/>
      <c r="BC2214" s="33"/>
      <c r="BD2214" s="33"/>
      <c r="BE2214" s="33"/>
      <c r="BF2214" s="29"/>
      <c r="BG2214" s="29"/>
      <c r="BH2214" s="12"/>
      <c r="BI2214" s="12"/>
      <c r="BJ2214" s="12"/>
    </row>
    <row r="2215" spans="53:62" x14ac:dyDescent="0.25">
      <c r="BA2215" s="12"/>
      <c r="BB2215" s="30"/>
      <c r="BC2215" s="33"/>
      <c r="BD2215" s="33"/>
      <c r="BE2215" s="33"/>
      <c r="BF2215" s="29"/>
      <c r="BG2215" s="29"/>
      <c r="BH2215" s="12"/>
      <c r="BI2215" s="12"/>
      <c r="BJ2215" s="12"/>
    </row>
    <row r="2216" spans="53:62" x14ac:dyDescent="0.25">
      <c r="BA2216" s="12"/>
      <c r="BB2216" s="30"/>
      <c r="BC2216" s="33"/>
      <c r="BD2216" s="33"/>
      <c r="BE2216" s="33"/>
      <c r="BF2216" s="29"/>
      <c r="BG2216" s="29"/>
      <c r="BH2216" s="12"/>
      <c r="BI2216" s="12"/>
      <c r="BJ2216" s="12"/>
    </row>
    <row r="2217" spans="53:62" x14ac:dyDescent="0.25">
      <c r="BA2217" s="12"/>
      <c r="BB2217" s="30"/>
      <c r="BC2217" s="33"/>
      <c r="BD2217" s="33"/>
      <c r="BE2217" s="33"/>
      <c r="BF2217" s="29"/>
      <c r="BG2217" s="29"/>
      <c r="BH2217" s="12"/>
      <c r="BI2217" s="12"/>
      <c r="BJ2217" s="12"/>
    </row>
    <row r="2218" spans="53:62" x14ac:dyDescent="0.25">
      <c r="BA2218" s="12"/>
      <c r="BB2218" s="30"/>
      <c r="BC2218" s="33"/>
      <c r="BD2218" s="33"/>
      <c r="BE2218" s="33"/>
      <c r="BF2218" s="29"/>
      <c r="BG2218" s="29"/>
      <c r="BH2218" s="12"/>
      <c r="BI2218" s="12"/>
      <c r="BJ2218" s="12"/>
    </row>
    <row r="2219" spans="53:62" x14ac:dyDescent="0.25">
      <c r="BA2219" s="12"/>
      <c r="BB2219" s="30"/>
      <c r="BC2219" s="33"/>
      <c r="BD2219" s="33"/>
      <c r="BE2219" s="33"/>
      <c r="BF2219" s="29"/>
      <c r="BG2219" s="29"/>
      <c r="BH2219" s="12"/>
      <c r="BI2219" s="12"/>
      <c r="BJ2219" s="12"/>
    </row>
    <row r="2220" spans="53:62" x14ac:dyDescent="0.25">
      <c r="BA2220" s="12"/>
      <c r="BB2220" s="30"/>
      <c r="BC2220" s="33"/>
      <c r="BD2220" s="33"/>
      <c r="BE2220" s="33"/>
      <c r="BF2220" s="29"/>
      <c r="BG2220" s="29"/>
      <c r="BH2220" s="12"/>
      <c r="BI2220" s="12"/>
      <c r="BJ2220" s="12"/>
    </row>
    <row r="2221" spans="53:62" x14ac:dyDescent="0.25">
      <c r="BA2221" s="12"/>
      <c r="BB2221" s="30"/>
      <c r="BC2221" s="33"/>
      <c r="BD2221" s="33"/>
      <c r="BE2221" s="33"/>
      <c r="BF2221" s="29"/>
      <c r="BG2221" s="29"/>
      <c r="BH2221" s="12"/>
      <c r="BI2221" s="12"/>
      <c r="BJ2221" s="12"/>
    </row>
    <row r="2222" spans="53:62" x14ac:dyDescent="0.25">
      <c r="BA2222" s="12"/>
      <c r="BB2222" s="30"/>
      <c r="BC2222" s="33"/>
      <c r="BD2222" s="33"/>
      <c r="BE2222" s="33"/>
      <c r="BF2222" s="29"/>
      <c r="BG2222" s="29"/>
      <c r="BH2222" s="12"/>
      <c r="BI2222" s="12"/>
      <c r="BJ2222" s="12"/>
    </row>
    <row r="2223" spans="53:62" x14ac:dyDescent="0.25">
      <c r="BA2223" s="12"/>
      <c r="BB2223" s="30"/>
      <c r="BC2223" s="33"/>
      <c r="BD2223" s="33"/>
      <c r="BE2223" s="33"/>
      <c r="BF2223" s="29"/>
      <c r="BG2223" s="29"/>
      <c r="BH2223" s="12"/>
      <c r="BI2223" s="12"/>
      <c r="BJ2223" s="12"/>
    </row>
    <row r="2224" spans="53:62" x14ac:dyDescent="0.25">
      <c r="BA2224" s="12"/>
      <c r="BB2224" s="30"/>
      <c r="BC2224" s="33"/>
      <c r="BD2224" s="33"/>
      <c r="BE2224" s="33"/>
      <c r="BF2224" s="29"/>
      <c r="BG2224" s="29"/>
      <c r="BH2224" s="12"/>
      <c r="BI2224" s="12"/>
      <c r="BJ2224" s="12"/>
    </row>
    <row r="2225" spans="53:62" x14ac:dyDescent="0.25">
      <c r="BA2225" s="12"/>
      <c r="BB2225" s="30"/>
      <c r="BC2225" s="33"/>
      <c r="BD2225" s="33"/>
      <c r="BE2225" s="33"/>
      <c r="BF2225" s="29"/>
      <c r="BG2225" s="29"/>
      <c r="BH2225" s="12"/>
      <c r="BI2225" s="12"/>
      <c r="BJ2225" s="12"/>
    </row>
    <row r="2226" spans="53:62" x14ac:dyDescent="0.25">
      <c r="BA2226" s="12"/>
      <c r="BB2226" s="30"/>
      <c r="BC2226" s="33"/>
      <c r="BD2226" s="33"/>
      <c r="BE2226" s="33"/>
      <c r="BF2226" s="29"/>
      <c r="BG2226" s="29"/>
      <c r="BH2226" s="12"/>
      <c r="BI2226" s="12"/>
      <c r="BJ2226" s="12"/>
    </row>
    <row r="2227" spans="53:62" x14ac:dyDescent="0.25">
      <c r="BA2227" s="12"/>
      <c r="BB2227" s="30"/>
      <c r="BC2227" s="33"/>
      <c r="BD2227" s="33"/>
      <c r="BE2227" s="33"/>
      <c r="BF2227" s="29"/>
      <c r="BG2227" s="29"/>
      <c r="BH2227" s="12"/>
      <c r="BI2227" s="12"/>
      <c r="BJ2227" s="12"/>
    </row>
    <row r="2228" spans="53:62" x14ac:dyDescent="0.25">
      <c r="BA2228" s="12"/>
      <c r="BB2228" s="30"/>
      <c r="BC2228" s="33"/>
      <c r="BD2228" s="33"/>
      <c r="BE2228" s="33"/>
      <c r="BF2228" s="29"/>
      <c r="BG2228" s="29"/>
      <c r="BH2228" s="12"/>
      <c r="BI2228" s="12"/>
      <c r="BJ2228" s="12"/>
    </row>
    <row r="2229" spans="53:62" x14ac:dyDescent="0.25">
      <c r="BA2229" s="12"/>
      <c r="BB2229" s="30"/>
      <c r="BC2229" s="33"/>
      <c r="BD2229" s="33"/>
      <c r="BE2229" s="33"/>
      <c r="BF2229" s="29"/>
      <c r="BG2229" s="29"/>
      <c r="BH2229" s="12"/>
      <c r="BI2229" s="12"/>
      <c r="BJ2229" s="12"/>
    </row>
    <row r="2230" spans="53:62" x14ac:dyDescent="0.25">
      <c r="BA2230" s="12"/>
      <c r="BB2230" s="30"/>
      <c r="BC2230" s="33"/>
      <c r="BD2230" s="33"/>
      <c r="BE2230" s="33"/>
      <c r="BF2230" s="29"/>
      <c r="BG2230" s="29"/>
      <c r="BH2230" s="12"/>
      <c r="BI2230" s="12"/>
      <c r="BJ2230" s="12"/>
    </row>
    <row r="2231" spans="53:62" x14ac:dyDescent="0.25">
      <c r="BA2231" s="12"/>
      <c r="BB2231" s="30"/>
      <c r="BC2231" s="33"/>
      <c r="BD2231" s="33"/>
      <c r="BE2231" s="33"/>
      <c r="BF2231" s="29"/>
      <c r="BG2231" s="29"/>
      <c r="BH2231" s="12"/>
      <c r="BI2231" s="12"/>
      <c r="BJ2231" s="12"/>
    </row>
    <row r="2232" spans="53:62" x14ac:dyDescent="0.25">
      <c r="BA2232" s="12"/>
      <c r="BB2232" s="30"/>
      <c r="BC2232" s="33"/>
      <c r="BD2232" s="33"/>
      <c r="BE2232" s="33"/>
      <c r="BF2232" s="29"/>
      <c r="BG2232" s="29"/>
      <c r="BH2232" s="12"/>
      <c r="BI2232" s="12"/>
      <c r="BJ2232" s="12"/>
    </row>
    <row r="2233" spans="53:62" x14ac:dyDescent="0.25">
      <c r="BA2233" s="12"/>
      <c r="BB2233" s="30"/>
      <c r="BC2233" s="33"/>
      <c r="BD2233" s="33"/>
      <c r="BE2233" s="33"/>
      <c r="BF2233" s="29"/>
      <c r="BG2233" s="29"/>
      <c r="BH2233" s="12"/>
      <c r="BI2233" s="12"/>
      <c r="BJ2233" s="12"/>
    </row>
    <row r="2234" spans="53:62" x14ac:dyDescent="0.25">
      <c r="BA2234" s="12"/>
      <c r="BB2234" s="30"/>
      <c r="BC2234" s="33"/>
      <c r="BD2234" s="33"/>
      <c r="BE2234" s="33"/>
      <c r="BF2234" s="29"/>
      <c r="BG2234" s="29"/>
      <c r="BH2234" s="12"/>
      <c r="BI2234" s="12"/>
      <c r="BJ2234" s="12"/>
    </row>
    <row r="2235" spans="53:62" x14ac:dyDescent="0.25">
      <c r="BA2235" s="12"/>
      <c r="BB2235" s="30"/>
      <c r="BC2235" s="33"/>
      <c r="BD2235" s="33"/>
      <c r="BE2235" s="33"/>
      <c r="BF2235" s="29"/>
      <c r="BG2235" s="29"/>
      <c r="BH2235" s="12"/>
      <c r="BI2235" s="12"/>
      <c r="BJ2235" s="12"/>
    </row>
    <row r="2236" spans="53:62" x14ac:dyDescent="0.25">
      <c r="BA2236" s="12"/>
      <c r="BB2236" s="30"/>
      <c r="BC2236" s="33"/>
      <c r="BD2236" s="33"/>
      <c r="BE2236" s="33"/>
      <c r="BF2236" s="29"/>
      <c r="BG2236" s="29"/>
      <c r="BH2236" s="12"/>
      <c r="BI2236" s="12"/>
      <c r="BJ2236" s="12"/>
    </row>
    <row r="2237" spans="53:62" x14ac:dyDescent="0.25">
      <c r="BA2237" s="12"/>
      <c r="BB2237" s="30"/>
      <c r="BC2237" s="33"/>
      <c r="BD2237" s="33"/>
      <c r="BE2237" s="33"/>
      <c r="BF2237" s="29"/>
      <c r="BG2237" s="29"/>
      <c r="BH2237" s="12"/>
      <c r="BI2237" s="12"/>
      <c r="BJ2237" s="12"/>
    </row>
    <row r="2238" spans="53:62" x14ac:dyDescent="0.25">
      <c r="BA2238" s="12"/>
      <c r="BB2238" s="30"/>
      <c r="BC2238" s="33"/>
      <c r="BD2238" s="33"/>
      <c r="BE2238" s="33"/>
      <c r="BF2238" s="29"/>
      <c r="BG2238" s="29"/>
      <c r="BH2238" s="12"/>
      <c r="BI2238" s="12"/>
      <c r="BJ2238" s="12"/>
    </row>
    <row r="2239" spans="53:62" x14ac:dyDescent="0.25">
      <c r="BA2239" s="12"/>
      <c r="BB2239" s="30"/>
      <c r="BC2239" s="33"/>
      <c r="BD2239" s="33"/>
      <c r="BE2239" s="33"/>
      <c r="BF2239" s="29"/>
      <c r="BG2239" s="29"/>
      <c r="BH2239" s="12"/>
      <c r="BI2239" s="12"/>
      <c r="BJ2239" s="12"/>
    </row>
    <row r="2240" spans="53:62" x14ac:dyDescent="0.25">
      <c r="BA2240" s="12"/>
      <c r="BB2240" s="30"/>
      <c r="BC2240" s="33"/>
      <c r="BD2240" s="33"/>
      <c r="BE2240" s="33"/>
      <c r="BF2240" s="29"/>
      <c r="BG2240" s="29"/>
      <c r="BH2240" s="12"/>
      <c r="BI2240" s="12"/>
      <c r="BJ2240" s="12"/>
    </row>
    <row r="2241" spans="53:62" x14ac:dyDescent="0.25">
      <c r="BA2241" s="12"/>
      <c r="BB2241" s="30"/>
      <c r="BC2241" s="33"/>
      <c r="BD2241" s="33"/>
      <c r="BE2241" s="33"/>
      <c r="BF2241" s="29"/>
      <c r="BG2241" s="29"/>
      <c r="BH2241" s="12"/>
      <c r="BI2241" s="12"/>
      <c r="BJ2241" s="12"/>
    </row>
    <row r="2242" spans="53:62" x14ac:dyDescent="0.25">
      <c r="BA2242" s="12"/>
      <c r="BB2242" s="30"/>
      <c r="BC2242" s="33"/>
      <c r="BD2242" s="33"/>
      <c r="BE2242" s="33"/>
      <c r="BF2242" s="29"/>
      <c r="BG2242" s="29"/>
      <c r="BH2242" s="12"/>
      <c r="BI2242" s="12"/>
      <c r="BJ2242" s="12"/>
    </row>
    <row r="2243" spans="53:62" x14ac:dyDescent="0.25">
      <c r="BA2243" s="12"/>
      <c r="BB2243" s="30"/>
      <c r="BC2243" s="33"/>
      <c r="BD2243" s="33"/>
      <c r="BE2243" s="33"/>
      <c r="BF2243" s="29"/>
      <c r="BG2243" s="29"/>
      <c r="BH2243" s="12"/>
      <c r="BI2243" s="12"/>
      <c r="BJ2243" s="12"/>
    </row>
    <row r="2244" spans="53:62" x14ac:dyDescent="0.25">
      <c r="BA2244" s="12"/>
      <c r="BB2244" s="30"/>
      <c r="BC2244" s="33"/>
      <c r="BD2244" s="33"/>
      <c r="BE2244" s="33"/>
      <c r="BF2244" s="29"/>
      <c r="BG2244" s="29"/>
      <c r="BH2244" s="12"/>
      <c r="BI2244" s="12"/>
      <c r="BJ2244" s="12"/>
    </row>
    <row r="2245" spans="53:62" x14ac:dyDescent="0.25">
      <c r="BA2245" s="12"/>
      <c r="BB2245" s="30"/>
      <c r="BC2245" s="33"/>
      <c r="BD2245" s="33"/>
      <c r="BE2245" s="33"/>
      <c r="BF2245" s="29"/>
      <c r="BG2245" s="29"/>
      <c r="BH2245" s="12"/>
      <c r="BI2245" s="12"/>
      <c r="BJ2245" s="12"/>
    </row>
    <row r="2246" spans="53:62" x14ac:dyDescent="0.25">
      <c r="BA2246" s="12"/>
      <c r="BB2246" s="30"/>
      <c r="BC2246" s="33"/>
      <c r="BD2246" s="33"/>
      <c r="BE2246" s="33"/>
      <c r="BF2246" s="29"/>
      <c r="BG2246" s="29"/>
      <c r="BH2246" s="12"/>
      <c r="BI2246" s="12"/>
      <c r="BJ2246" s="12"/>
    </row>
    <row r="2247" spans="53:62" x14ac:dyDescent="0.25">
      <c r="BA2247" s="12"/>
      <c r="BB2247" s="30"/>
      <c r="BC2247" s="33"/>
      <c r="BD2247" s="33"/>
      <c r="BE2247" s="33"/>
      <c r="BF2247" s="29"/>
      <c r="BG2247" s="29"/>
      <c r="BH2247" s="12"/>
      <c r="BI2247" s="12"/>
      <c r="BJ2247" s="12"/>
    </row>
    <row r="2248" spans="53:62" x14ac:dyDescent="0.25">
      <c r="BA2248" s="12"/>
      <c r="BB2248" s="30"/>
      <c r="BC2248" s="33"/>
      <c r="BD2248" s="33"/>
      <c r="BE2248" s="33"/>
      <c r="BF2248" s="29"/>
      <c r="BG2248" s="29"/>
      <c r="BH2248" s="12"/>
      <c r="BI2248" s="12"/>
      <c r="BJ2248" s="12"/>
    </row>
    <row r="2249" spans="53:62" x14ac:dyDescent="0.25">
      <c r="BA2249" s="12"/>
      <c r="BB2249" s="30"/>
      <c r="BC2249" s="33"/>
      <c r="BD2249" s="33"/>
      <c r="BE2249" s="33"/>
      <c r="BF2249" s="29"/>
      <c r="BG2249" s="29"/>
      <c r="BH2249" s="12"/>
      <c r="BI2249" s="12"/>
      <c r="BJ2249" s="12"/>
    </row>
    <row r="2250" spans="53:62" x14ac:dyDescent="0.25">
      <c r="BA2250" s="12"/>
      <c r="BB2250" s="30"/>
      <c r="BC2250" s="33"/>
      <c r="BD2250" s="33"/>
      <c r="BE2250" s="33"/>
      <c r="BF2250" s="29"/>
      <c r="BG2250" s="29"/>
      <c r="BH2250" s="12"/>
      <c r="BI2250" s="12"/>
      <c r="BJ2250" s="12"/>
    </row>
    <row r="2251" spans="53:62" x14ac:dyDescent="0.25">
      <c r="BA2251" s="12"/>
      <c r="BB2251" s="30"/>
      <c r="BC2251" s="33"/>
      <c r="BD2251" s="33"/>
      <c r="BE2251" s="33"/>
      <c r="BF2251" s="29"/>
      <c r="BG2251" s="29"/>
      <c r="BH2251" s="12"/>
      <c r="BI2251" s="12"/>
      <c r="BJ2251" s="12"/>
    </row>
    <row r="2252" spans="53:62" x14ac:dyDescent="0.25">
      <c r="BA2252" s="12"/>
      <c r="BB2252" s="30"/>
      <c r="BC2252" s="33"/>
      <c r="BD2252" s="33"/>
      <c r="BE2252" s="33"/>
      <c r="BF2252" s="29"/>
      <c r="BG2252" s="29"/>
      <c r="BH2252" s="12"/>
      <c r="BI2252" s="12"/>
      <c r="BJ2252" s="12"/>
    </row>
    <row r="2253" spans="53:62" x14ac:dyDescent="0.25">
      <c r="BA2253" s="12"/>
      <c r="BB2253" s="30"/>
      <c r="BC2253" s="33"/>
      <c r="BD2253" s="33"/>
      <c r="BE2253" s="33"/>
      <c r="BF2253" s="29"/>
      <c r="BG2253" s="29"/>
      <c r="BH2253" s="12"/>
      <c r="BI2253" s="12"/>
      <c r="BJ2253" s="12"/>
    </row>
    <row r="2254" spans="53:62" x14ac:dyDescent="0.25">
      <c r="BA2254" s="12"/>
      <c r="BB2254" s="30"/>
      <c r="BC2254" s="33"/>
      <c r="BD2254" s="33"/>
      <c r="BE2254" s="33"/>
      <c r="BF2254" s="29"/>
      <c r="BG2254" s="29"/>
      <c r="BH2254" s="12"/>
      <c r="BI2254" s="12"/>
      <c r="BJ2254" s="12"/>
    </row>
    <row r="2255" spans="53:62" x14ac:dyDescent="0.25">
      <c r="BA2255" s="12"/>
      <c r="BB2255" s="30"/>
      <c r="BC2255" s="33"/>
      <c r="BD2255" s="33"/>
      <c r="BE2255" s="33"/>
      <c r="BF2255" s="29"/>
      <c r="BG2255" s="29"/>
      <c r="BH2255" s="12"/>
      <c r="BI2255" s="12"/>
      <c r="BJ2255" s="12"/>
    </row>
    <row r="2256" spans="53:62" x14ac:dyDescent="0.25">
      <c r="BA2256" s="12"/>
      <c r="BB2256" s="30"/>
      <c r="BC2256" s="33"/>
      <c r="BD2256" s="33"/>
      <c r="BE2256" s="33"/>
      <c r="BF2256" s="29"/>
      <c r="BG2256" s="29"/>
      <c r="BH2256" s="12"/>
      <c r="BI2256" s="12"/>
      <c r="BJ2256" s="12"/>
    </row>
    <row r="2257" spans="53:62" x14ac:dyDescent="0.25">
      <c r="BA2257" s="12"/>
      <c r="BB2257" s="30"/>
      <c r="BC2257" s="33"/>
      <c r="BD2257" s="33"/>
      <c r="BE2257" s="33"/>
      <c r="BF2257" s="29"/>
      <c r="BG2257" s="29"/>
      <c r="BH2257" s="12"/>
      <c r="BI2257" s="12"/>
      <c r="BJ2257" s="12"/>
    </row>
    <row r="2258" spans="53:62" x14ac:dyDescent="0.25">
      <c r="BA2258" s="12"/>
      <c r="BB2258" s="30"/>
      <c r="BC2258" s="33"/>
      <c r="BD2258" s="33"/>
      <c r="BE2258" s="33"/>
      <c r="BF2258" s="29"/>
      <c r="BG2258" s="29"/>
      <c r="BH2258" s="12"/>
      <c r="BI2258" s="12"/>
      <c r="BJ2258" s="12"/>
    </row>
    <row r="2259" spans="53:62" x14ac:dyDescent="0.25">
      <c r="BA2259" s="12"/>
      <c r="BB2259" s="30"/>
      <c r="BC2259" s="33"/>
      <c r="BD2259" s="33"/>
      <c r="BE2259" s="33"/>
      <c r="BF2259" s="29"/>
      <c r="BG2259" s="29"/>
      <c r="BH2259" s="12"/>
      <c r="BI2259" s="12"/>
      <c r="BJ2259" s="12"/>
    </row>
    <row r="2260" spans="53:62" x14ac:dyDescent="0.25">
      <c r="BA2260" s="12"/>
      <c r="BB2260" s="30"/>
      <c r="BC2260" s="33"/>
      <c r="BD2260" s="33"/>
      <c r="BE2260" s="33"/>
      <c r="BF2260" s="29"/>
      <c r="BG2260" s="29"/>
      <c r="BH2260" s="12"/>
      <c r="BI2260" s="12"/>
      <c r="BJ2260" s="12"/>
    </row>
    <row r="2261" spans="53:62" x14ac:dyDescent="0.25">
      <c r="BA2261" s="12"/>
      <c r="BB2261" s="30"/>
      <c r="BC2261" s="33"/>
      <c r="BD2261" s="33"/>
      <c r="BE2261" s="33"/>
      <c r="BF2261" s="29"/>
      <c r="BG2261" s="29"/>
      <c r="BH2261" s="12"/>
      <c r="BI2261" s="12"/>
      <c r="BJ2261" s="12"/>
    </row>
    <row r="2262" spans="53:62" x14ac:dyDescent="0.25">
      <c r="BA2262" s="12"/>
      <c r="BB2262" s="30"/>
      <c r="BC2262" s="33"/>
      <c r="BD2262" s="33"/>
      <c r="BE2262" s="33"/>
      <c r="BF2262" s="29"/>
      <c r="BG2262" s="29"/>
      <c r="BH2262" s="12"/>
      <c r="BI2262" s="12"/>
      <c r="BJ2262" s="12"/>
    </row>
    <row r="2263" spans="53:62" x14ac:dyDescent="0.25">
      <c r="BA2263" s="12"/>
      <c r="BB2263" s="30"/>
      <c r="BC2263" s="33"/>
      <c r="BD2263" s="33"/>
      <c r="BE2263" s="33"/>
      <c r="BF2263" s="29"/>
      <c r="BG2263" s="29"/>
      <c r="BH2263" s="12"/>
      <c r="BI2263" s="12"/>
      <c r="BJ2263" s="12"/>
    </row>
    <row r="2264" spans="53:62" x14ac:dyDescent="0.25">
      <c r="BA2264" s="12"/>
      <c r="BB2264" s="30"/>
      <c r="BC2264" s="33"/>
      <c r="BD2264" s="33"/>
      <c r="BE2264" s="33"/>
      <c r="BF2264" s="29"/>
      <c r="BG2264" s="29"/>
      <c r="BH2264" s="12"/>
      <c r="BI2264" s="12"/>
      <c r="BJ2264" s="12"/>
    </row>
    <row r="2265" spans="53:62" x14ac:dyDescent="0.25">
      <c r="BA2265" s="12"/>
      <c r="BB2265" s="30"/>
      <c r="BC2265" s="33"/>
      <c r="BD2265" s="33"/>
      <c r="BE2265" s="33"/>
      <c r="BF2265" s="29"/>
      <c r="BG2265" s="29"/>
      <c r="BH2265" s="12"/>
      <c r="BI2265" s="12"/>
      <c r="BJ2265" s="12"/>
    </row>
    <row r="2266" spans="53:62" x14ac:dyDescent="0.25">
      <c r="BA2266" s="12"/>
      <c r="BB2266" s="30"/>
      <c r="BC2266" s="33"/>
      <c r="BD2266" s="33"/>
      <c r="BE2266" s="33"/>
      <c r="BF2266" s="29"/>
      <c r="BG2266" s="29"/>
      <c r="BH2266" s="12"/>
      <c r="BI2266" s="12"/>
      <c r="BJ2266" s="12"/>
    </row>
    <row r="2267" spans="53:62" x14ac:dyDescent="0.25">
      <c r="BA2267" s="12"/>
      <c r="BB2267" s="30"/>
      <c r="BC2267" s="33"/>
      <c r="BD2267" s="33"/>
      <c r="BE2267" s="33"/>
      <c r="BF2267" s="29"/>
      <c r="BG2267" s="29"/>
      <c r="BH2267" s="12"/>
      <c r="BI2267" s="12"/>
      <c r="BJ2267" s="12"/>
    </row>
    <row r="2268" spans="53:62" x14ac:dyDescent="0.25">
      <c r="BA2268" s="12"/>
      <c r="BB2268" s="30"/>
      <c r="BC2268" s="33"/>
      <c r="BD2268" s="33"/>
      <c r="BE2268" s="33"/>
      <c r="BF2268" s="29"/>
      <c r="BG2268" s="29"/>
      <c r="BH2268" s="12"/>
      <c r="BI2268" s="12"/>
      <c r="BJ2268" s="12"/>
    </row>
    <row r="2269" spans="53:62" x14ac:dyDescent="0.25">
      <c r="BA2269" s="12"/>
      <c r="BB2269" s="30"/>
      <c r="BC2269" s="33"/>
      <c r="BD2269" s="33"/>
      <c r="BE2269" s="33"/>
      <c r="BF2269" s="29"/>
      <c r="BG2269" s="29"/>
      <c r="BH2269" s="12"/>
      <c r="BI2269" s="12"/>
      <c r="BJ2269" s="12"/>
    </row>
    <row r="2270" spans="53:62" x14ac:dyDescent="0.25">
      <c r="BA2270" s="12"/>
      <c r="BB2270" s="30"/>
      <c r="BC2270" s="33"/>
      <c r="BD2270" s="33"/>
      <c r="BE2270" s="33"/>
      <c r="BF2270" s="29"/>
      <c r="BG2270" s="29"/>
      <c r="BH2270" s="12"/>
      <c r="BI2270" s="12"/>
      <c r="BJ2270" s="12"/>
    </row>
    <row r="2271" spans="53:62" x14ac:dyDescent="0.25">
      <c r="BA2271" s="12"/>
      <c r="BB2271" s="30"/>
      <c r="BC2271" s="33"/>
      <c r="BD2271" s="33"/>
      <c r="BE2271" s="33"/>
      <c r="BF2271" s="29"/>
      <c r="BG2271" s="29"/>
      <c r="BH2271" s="12"/>
      <c r="BI2271" s="12"/>
      <c r="BJ2271" s="12"/>
    </row>
    <row r="2272" spans="53:62" x14ac:dyDescent="0.25">
      <c r="BA2272" s="12"/>
      <c r="BB2272" s="30"/>
      <c r="BC2272" s="33"/>
      <c r="BD2272" s="33"/>
      <c r="BE2272" s="33"/>
      <c r="BF2272" s="29"/>
      <c r="BG2272" s="29"/>
      <c r="BH2272" s="12"/>
      <c r="BI2272" s="12"/>
      <c r="BJ2272" s="12"/>
    </row>
    <row r="2273" spans="53:62" x14ac:dyDescent="0.25">
      <c r="BA2273" s="12"/>
      <c r="BB2273" s="30"/>
      <c r="BC2273" s="33"/>
      <c r="BD2273" s="33"/>
      <c r="BE2273" s="33"/>
      <c r="BF2273" s="29"/>
      <c r="BG2273" s="29"/>
      <c r="BH2273" s="12"/>
      <c r="BI2273" s="12"/>
      <c r="BJ2273" s="12"/>
    </row>
    <row r="2274" spans="53:62" x14ac:dyDescent="0.25">
      <c r="BA2274" s="12"/>
      <c r="BB2274" s="30"/>
      <c r="BC2274" s="33"/>
      <c r="BD2274" s="33"/>
      <c r="BE2274" s="33"/>
      <c r="BF2274" s="29"/>
      <c r="BG2274" s="29"/>
      <c r="BH2274" s="12"/>
      <c r="BI2274" s="12"/>
      <c r="BJ2274" s="12"/>
    </row>
    <row r="2275" spans="53:62" x14ac:dyDescent="0.25">
      <c r="BA2275" s="12"/>
      <c r="BB2275" s="30"/>
      <c r="BC2275" s="33"/>
      <c r="BD2275" s="33"/>
      <c r="BE2275" s="33"/>
      <c r="BF2275" s="29"/>
      <c r="BG2275" s="29"/>
      <c r="BH2275" s="12"/>
      <c r="BI2275" s="12"/>
      <c r="BJ2275" s="12"/>
    </row>
    <row r="2276" spans="53:62" x14ac:dyDescent="0.25">
      <c r="BA2276" s="12"/>
      <c r="BB2276" s="30"/>
      <c r="BC2276" s="33"/>
      <c r="BD2276" s="33"/>
      <c r="BE2276" s="33"/>
      <c r="BF2276" s="29"/>
      <c r="BG2276" s="29"/>
      <c r="BH2276" s="12"/>
      <c r="BI2276" s="12"/>
      <c r="BJ2276" s="12"/>
    </row>
    <row r="2277" spans="53:62" x14ac:dyDescent="0.25">
      <c r="BA2277" s="12"/>
      <c r="BB2277" s="30"/>
      <c r="BC2277" s="33"/>
      <c r="BD2277" s="33"/>
      <c r="BE2277" s="33"/>
      <c r="BF2277" s="29"/>
      <c r="BG2277" s="29"/>
      <c r="BH2277" s="12"/>
      <c r="BI2277" s="12"/>
      <c r="BJ2277" s="12"/>
    </row>
    <row r="2278" spans="53:62" x14ac:dyDescent="0.25">
      <c r="BA2278" s="12"/>
      <c r="BB2278" s="30"/>
      <c r="BC2278" s="33"/>
      <c r="BD2278" s="33"/>
      <c r="BE2278" s="33"/>
      <c r="BF2278" s="29"/>
      <c r="BG2278" s="29"/>
      <c r="BH2278" s="12"/>
      <c r="BI2278" s="12"/>
      <c r="BJ2278" s="12"/>
    </row>
    <row r="2279" spans="53:62" x14ac:dyDescent="0.25">
      <c r="BA2279" s="12"/>
      <c r="BB2279" s="30"/>
      <c r="BC2279" s="33"/>
      <c r="BD2279" s="33"/>
      <c r="BE2279" s="33"/>
      <c r="BF2279" s="29"/>
      <c r="BG2279" s="29"/>
      <c r="BH2279" s="12"/>
      <c r="BI2279" s="12"/>
      <c r="BJ2279" s="12"/>
    </row>
    <row r="2280" spans="53:62" x14ac:dyDescent="0.25">
      <c r="BA2280" s="12"/>
      <c r="BB2280" s="30"/>
      <c r="BC2280" s="33"/>
      <c r="BD2280" s="33"/>
      <c r="BE2280" s="33"/>
      <c r="BF2280" s="29"/>
      <c r="BG2280" s="29"/>
      <c r="BH2280" s="12"/>
      <c r="BI2280" s="12"/>
      <c r="BJ2280" s="12"/>
    </row>
    <row r="2281" spans="53:62" x14ac:dyDescent="0.25">
      <c r="BA2281" s="12"/>
      <c r="BB2281" s="30"/>
      <c r="BC2281" s="33"/>
      <c r="BD2281" s="33"/>
      <c r="BE2281" s="33"/>
      <c r="BF2281" s="29"/>
      <c r="BG2281" s="29"/>
      <c r="BH2281" s="12"/>
      <c r="BI2281" s="12"/>
      <c r="BJ2281" s="12"/>
    </row>
    <row r="2282" spans="53:62" x14ac:dyDescent="0.25">
      <c r="BA2282" s="12"/>
      <c r="BB2282" s="30"/>
      <c r="BC2282" s="33"/>
      <c r="BD2282" s="33"/>
      <c r="BE2282" s="33"/>
      <c r="BF2282" s="29"/>
      <c r="BG2282" s="29"/>
      <c r="BH2282" s="12"/>
      <c r="BI2282" s="12"/>
      <c r="BJ2282" s="12"/>
    </row>
    <row r="2283" spans="53:62" x14ac:dyDescent="0.25">
      <c r="BA2283" s="12"/>
      <c r="BB2283" s="30"/>
      <c r="BC2283" s="33"/>
      <c r="BD2283" s="33"/>
      <c r="BE2283" s="33"/>
      <c r="BF2283" s="29"/>
      <c r="BG2283" s="29"/>
      <c r="BH2283" s="12"/>
      <c r="BI2283" s="12"/>
      <c r="BJ2283" s="12"/>
    </row>
    <row r="2284" spans="53:62" x14ac:dyDescent="0.25">
      <c r="BA2284" s="12"/>
      <c r="BB2284" s="30"/>
      <c r="BC2284" s="33"/>
      <c r="BD2284" s="33"/>
      <c r="BE2284" s="33"/>
      <c r="BF2284" s="29"/>
      <c r="BG2284" s="29"/>
      <c r="BH2284" s="12"/>
      <c r="BI2284" s="12"/>
      <c r="BJ2284" s="12"/>
    </row>
    <row r="2285" spans="53:62" x14ac:dyDescent="0.25">
      <c r="BA2285" s="12"/>
      <c r="BB2285" s="30"/>
      <c r="BC2285" s="33"/>
      <c r="BD2285" s="33"/>
      <c r="BE2285" s="33"/>
      <c r="BF2285" s="29"/>
      <c r="BG2285" s="29"/>
      <c r="BH2285" s="12"/>
      <c r="BI2285" s="12"/>
      <c r="BJ2285" s="12"/>
    </row>
    <row r="2286" spans="53:62" x14ac:dyDescent="0.25">
      <c r="BA2286" s="12"/>
      <c r="BB2286" s="30"/>
      <c r="BC2286" s="33"/>
      <c r="BD2286" s="33"/>
      <c r="BE2286" s="33"/>
      <c r="BF2286" s="29"/>
      <c r="BG2286" s="29"/>
      <c r="BH2286" s="12"/>
      <c r="BI2286" s="12"/>
      <c r="BJ2286" s="12"/>
    </row>
    <row r="2287" spans="53:62" x14ac:dyDescent="0.25">
      <c r="BA2287" s="12"/>
      <c r="BB2287" s="30"/>
      <c r="BC2287" s="33"/>
      <c r="BD2287" s="33"/>
      <c r="BE2287" s="33"/>
      <c r="BF2287" s="29"/>
      <c r="BG2287" s="29"/>
      <c r="BH2287" s="12"/>
      <c r="BI2287" s="12"/>
      <c r="BJ2287" s="12"/>
    </row>
    <row r="2288" spans="53:62" x14ac:dyDescent="0.25">
      <c r="BA2288" s="12"/>
      <c r="BB2288" s="30"/>
      <c r="BC2288" s="33"/>
      <c r="BD2288" s="33"/>
      <c r="BE2288" s="33"/>
      <c r="BF2288" s="29"/>
      <c r="BG2288" s="29"/>
      <c r="BH2288" s="12"/>
      <c r="BI2288" s="12"/>
      <c r="BJ2288" s="12"/>
    </row>
    <row r="2289" spans="53:62" x14ac:dyDescent="0.25">
      <c r="BA2289" s="12"/>
      <c r="BB2289" s="30"/>
      <c r="BC2289" s="33"/>
      <c r="BD2289" s="33"/>
      <c r="BE2289" s="33"/>
      <c r="BF2289" s="29"/>
      <c r="BG2289" s="29"/>
      <c r="BH2289" s="12"/>
      <c r="BI2289" s="12"/>
      <c r="BJ2289" s="12"/>
    </row>
    <row r="2290" spans="53:62" x14ac:dyDescent="0.25">
      <c r="BA2290" s="12"/>
      <c r="BB2290" s="30"/>
      <c r="BC2290" s="33"/>
      <c r="BD2290" s="33"/>
      <c r="BE2290" s="33"/>
      <c r="BF2290" s="29"/>
      <c r="BG2290" s="29"/>
      <c r="BH2290" s="12"/>
      <c r="BI2290" s="12"/>
      <c r="BJ2290" s="12"/>
    </row>
    <row r="2291" spans="53:62" x14ac:dyDescent="0.25">
      <c r="BA2291" s="12"/>
      <c r="BB2291" s="30"/>
      <c r="BC2291" s="33"/>
      <c r="BD2291" s="33"/>
      <c r="BE2291" s="33"/>
      <c r="BF2291" s="29"/>
      <c r="BG2291" s="29"/>
      <c r="BH2291" s="12"/>
      <c r="BI2291" s="12"/>
      <c r="BJ2291" s="12"/>
    </row>
    <row r="2292" spans="53:62" x14ac:dyDescent="0.25">
      <c r="BA2292" s="12"/>
      <c r="BB2292" s="30"/>
      <c r="BC2292" s="33"/>
      <c r="BD2292" s="33"/>
      <c r="BE2292" s="33"/>
      <c r="BF2292" s="29"/>
      <c r="BG2292" s="29"/>
      <c r="BH2292" s="12"/>
      <c r="BI2292" s="12"/>
      <c r="BJ2292" s="12"/>
    </row>
    <row r="2293" spans="53:62" x14ac:dyDescent="0.25">
      <c r="BA2293" s="12"/>
      <c r="BB2293" s="30"/>
      <c r="BC2293" s="33"/>
      <c r="BD2293" s="33"/>
      <c r="BE2293" s="33"/>
      <c r="BF2293" s="29"/>
      <c r="BG2293" s="29"/>
      <c r="BH2293" s="12"/>
      <c r="BI2293" s="12"/>
      <c r="BJ2293" s="12"/>
    </row>
    <row r="2294" spans="53:62" x14ac:dyDescent="0.25">
      <c r="BA2294" s="12"/>
      <c r="BB2294" s="30"/>
      <c r="BC2294" s="33"/>
      <c r="BD2294" s="33"/>
      <c r="BE2294" s="33"/>
      <c r="BF2294" s="29"/>
      <c r="BG2294" s="29"/>
      <c r="BH2294" s="12"/>
      <c r="BI2294" s="12"/>
      <c r="BJ2294" s="12"/>
    </row>
    <row r="2295" spans="53:62" x14ac:dyDescent="0.25">
      <c r="BA2295" s="12"/>
      <c r="BB2295" s="30"/>
      <c r="BC2295" s="33"/>
      <c r="BD2295" s="33"/>
      <c r="BE2295" s="33"/>
      <c r="BF2295" s="29"/>
      <c r="BG2295" s="29"/>
      <c r="BH2295" s="12"/>
      <c r="BI2295" s="12"/>
      <c r="BJ2295" s="12"/>
    </row>
    <row r="2296" spans="53:62" x14ac:dyDescent="0.25">
      <c r="BA2296" s="12"/>
      <c r="BB2296" s="30"/>
      <c r="BC2296" s="33"/>
      <c r="BD2296" s="33"/>
      <c r="BE2296" s="33"/>
      <c r="BF2296" s="29"/>
      <c r="BG2296" s="29"/>
      <c r="BH2296" s="12"/>
      <c r="BI2296" s="12"/>
      <c r="BJ2296" s="12"/>
    </row>
    <row r="2297" spans="53:62" x14ac:dyDescent="0.25">
      <c r="BA2297" s="12"/>
      <c r="BB2297" s="30"/>
      <c r="BC2297" s="33"/>
      <c r="BD2297" s="33"/>
      <c r="BE2297" s="33"/>
      <c r="BF2297" s="29"/>
      <c r="BG2297" s="29"/>
      <c r="BH2297" s="12"/>
      <c r="BI2297" s="12"/>
      <c r="BJ2297" s="12"/>
    </row>
    <row r="2298" spans="53:62" x14ac:dyDescent="0.25">
      <c r="BA2298" s="12"/>
      <c r="BB2298" s="30"/>
      <c r="BC2298" s="33"/>
      <c r="BD2298" s="33"/>
      <c r="BE2298" s="33"/>
      <c r="BF2298" s="29"/>
      <c r="BG2298" s="29"/>
      <c r="BH2298" s="12"/>
      <c r="BI2298" s="12"/>
      <c r="BJ2298" s="12"/>
    </row>
    <row r="2299" spans="53:62" x14ac:dyDescent="0.25">
      <c r="BA2299" s="12"/>
      <c r="BB2299" s="30"/>
      <c r="BC2299" s="33"/>
      <c r="BD2299" s="33"/>
      <c r="BE2299" s="33"/>
      <c r="BF2299" s="29"/>
      <c r="BG2299" s="29"/>
      <c r="BH2299" s="12"/>
      <c r="BI2299" s="12"/>
      <c r="BJ2299" s="12"/>
    </row>
    <row r="2300" spans="53:62" x14ac:dyDescent="0.25">
      <c r="BA2300" s="12"/>
      <c r="BB2300" s="30"/>
      <c r="BC2300" s="33"/>
      <c r="BD2300" s="33"/>
      <c r="BE2300" s="33"/>
      <c r="BF2300" s="29"/>
      <c r="BG2300" s="29"/>
      <c r="BH2300" s="12"/>
      <c r="BI2300" s="12"/>
      <c r="BJ2300" s="12"/>
    </row>
    <row r="2301" spans="53:62" x14ac:dyDescent="0.25">
      <c r="BA2301" s="12"/>
      <c r="BB2301" s="30"/>
      <c r="BC2301" s="33"/>
      <c r="BD2301" s="33"/>
      <c r="BE2301" s="33"/>
      <c r="BF2301" s="29"/>
      <c r="BG2301" s="29"/>
      <c r="BH2301" s="12"/>
      <c r="BI2301" s="12"/>
      <c r="BJ2301" s="12"/>
    </row>
    <row r="2302" spans="53:62" x14ac:dyDescent="0.25">
      <c r="BA2302" s="12"/>
      <c r="BB2302" s="30"/>
      <c r="BC2302" s="33"/>
      <c r="BD2302" s="33"/>
      <c r="BE2302" s="33"/>
      <c r="BF2302" s="29"/>
      <c r="BG2302" s="29"/>
      <c r="BH2302" s="12"/>
      <c r="BI2302" s="12"/>
      <c r="BJ2302" s="12"/>
    </row>
    <row r="2303" spans="53:62" x14ac:dyDescent="0.25">
      <c r="BA2303" s="12"/>
      <c r="BB2303" s="30"/>
      <c r="BC2303" s="33"/>
      <c r="BD2303" s="33"/>
      <c r="BE2303" s="33"/>
      <c r="BF2303" s="29"/>
      <c r="BG2303" s="29"/>
      <c r="BH2303" s="12"/>
      <c r="BI2303" s="12"/>
      <c r="BJ2303" s="12"/>
    </row>
    <row r="2304" spans="53:62" x14ac:dyDescent="0.25">
      <c r="BA2304" s="12"/>
      <c r="BB2304" s="30"/>
      <c r="BC2304" s="33"/>
      <c r="BD2304" s="33"/>
      <c r="BE2304" s="33"/>
      <c r="BF2304" s="29"/>
      <c r="BG2304" s="29"/>
      <c r="BH2304" s="12"/>
      <c r="BI2304" s="12"/>
      <c r="BJ2304" s="12"/>
    </row>
    <row r="2305" spans="53:62" x14ac:dyDescent="0.25">
      <c r="BA2305" s="12"/>
      <c r="BB2305" s="30"/>
      <c r="BC2305" s="33"/>
      <c r="BD2305" s="33"/>
      <c r="BE2305" s="33"/>
      <c r="BF2305" s="29"/>
      <c r="BG2305" s="29"/>
      <c r="BH2305" s="12"/>
      <c r="BI2305" s="12"/>
      <c r="BJ2305" s="12"/>
    </row>
    <row r="2306" spans="53:62" x14ac:dyDescent="0.25">
      <c r="BA2306" s="12"/>
      <c r="BB2306" s="30"/>
      <c r="BC2306" s="33"/>
      <c r="BD2306" s="33"/>
      <c r="BE2306" s="33"/>
      <c r="BF2306" s="29"/>
      <c r="BG2306" s="29"/>
      <c r="BH2306" s="12"/>
      <c r="BI2306" s="12"/>
      <c r="BJ2306" s="12"/>
    </row>
    <row r="2307" spans="53:62" x14ac:dyDescent="0.25">
      <c r="BA2307" s="12"/>
      <c r="BB2307" s="30"/>
      <c r="BC2307" s="33"/>
      <c r="BD2307" s="33"/>
      <c r="BE2307" s="33"/>
      <c r="BF2307" s="29"/>
      <c r="BG2307" s="29"/>
      <c r="BH2307" s="12"/>
      <c r="BI2307" s="12"/>
      <c r="BJ2307" s="12"/>
    </row>
    <row r="2308" spans="53:62" x14ac:dyDescent="0.25">
      <c r="BA2308" s="12"/>
      <c r="BB2308" s="30"/>
      <c r="BC2308" s="33"/>
      <c r="BD2308" s="33"/>
      <c r="BE2308" s="33"/>
      <c r="BF2308" s="29"/>
      <c r="BG2308" s="29"/>
      <c r="BH2308" s="12"/>
      <c r="BI2308" s="12"/>
      <c r="BJ2308" s="12"/>
    </row>
    <row r="2309" spans="53:62" x14ac:dyDescent="0.25">
      <c r="BA2309" s="12"/>
      <c r="BB2309" s="30"/>
      <c r="BC2309" s="33"/>
      <c r="BD2309" s="33"/>
      <c r="BE2309" s="33"/>
      <c r="BF2309" s="29"/>
      <c r="BG2309" s="29"/>
      <c r="BH2309" s="12"/>
      <c r="BI2309" s="12"/>
      <c r="BJ2309" s="12"/>
    </row>
  </sheetData>
  <sheetProtection selectLockedCells="1"/>
  <sortState xmlns:xlrd2="http://schemas.microsoft.com/office/spreadsheetml/2017/richdata2" ref="A2:AB2311">
    <sortCondition ref="AA49"/>
    <sortCondition ref="AB49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heet2.RotateCCW_Click">
                <anchor moveWithCells="1" siz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1</xdr:col>
                    <xdr:colOff>381000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heet2.MirrorHorizontal_Click">
                <anchor moveWithCells="1" sizeWithCells="1">
                  <from>
                    <xdr:col>0</xdr:col>
                    <xdr:colOff>47625</xdr:colOff>
                    <xdr:row>0</xdr:row>
                    <xdr:rowOff>314325</xdr:rowOff>
                  </from>
                  <to>
                    <xdr:col>1</xdr:col>
                    <xdr:colOff>381000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Sheet2.RotateCW_Click">
                <anchor moveWithCells="1" sizeWithCells="1">
                  <from>
                    <xdr:col>1</xdr:col>
                    <xdr:colOff>485775</xdr:colOff>
                    <xdr:row>0</xdr:row>
                    <xdr:rowOff>47625</xdr:rowOff>
                  </from>
                  <to>
                    <xdr:col>1</xdr:col>
                    <xdr:colOff>1562100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Sheet2.MirrorVertical_Click">
                <anchor moveWithCells="1" sizeWithCells="1">
                  <from>
                    <xdr:col>1</xdr:col>
                    <xdr:colOff>485775</xdr:colOff>
                    <xdr:row>0</xdr:row>
                    <xdr:rowOff>314325</xdr:rowOff>
                  </from>
                  <to>
                    <xdr:col>1</xdr:col>
                    <xdr:colOff>1562100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Sheet2.MoveAuto_Click">
                <anchor moveWithCells="1" sizeWithCells="1">
                  <from>
                    <xdr:col>1</xdr:col>
                    <xdr:colOff>1609725</xdr:colOff>
                    <xdr:row>0</xdr:row>
                    <xdr:rowOff>47625</xdr:rowOff>
                  </from>
                  <to>
                    <xdr:col>3</xdr:col>
                    <xdr:colOff>295275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Button 31">
              <controlPr defaultSize="0" print="0" autoFill="0" autoPict="0" macro="[0]!Sheet2.SortCells_Click">
                <anchor moveWithCells="1" sizeWithCells="1">
                  <from>
                    <xdr:col>1</xdr:col>
                    <xdr:colOff>1609725</xdr:colOff>
                    <xdr:row>0</xdr:row>
                    <xdr:rowOff>314325</xdr:rowOff>
                  </from>
                  <to>
                    <xdr:col>3</xdr:col>
                    <xdr:colOff>295275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eet2.PasteValues_Click">
                <anchor moveWithCells="1" sizeWithCells="1">
                  <from>
                    <xdr:col>3</xdr:col>
                    <xdr:colOff>342900</xdr:colOff>
                    <xdr:row>0</xdr:row>
                    <xdr:rowOff>47625</xdr:rowOff>
                  </from>
                  <to>
                    <xdr:col>4</xdr:col>
                    <xdr:colOff>685800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1" name="Button 33">
              <controlPr defaultSize="0" print="0" autoFill="0" autoPict="0" macro="[0]!Sheet2.ClearCells_Click">
                <anchor moveWithCells="1" sizeWithCells="1">
                  <from>
                    <xdr:col>3</xdr:col>
                    <xdr:colOff>342900</xdr:colOff>
                    <xdr:row>0</xdr:row>
                    <xdr:rowOff>314325</xdr:rowOff>
                  </from>
                  <to>
                    <xdr:col>4</xdr:col>
                    <xdr:colOff>685800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Button 34">
              <controlPr defaultSize="0" print="0" autoFill="0" autoPict="0" macro="[0]!Sheet2.PNPMirae_Click">
                <anchor moveWithCells="1" sizeWithCells="1">
                  <from>
                    <xdr:col>5</xdr:col>
                    <xdr:colOff>0</xdr:colOff>
                    <xdr:row>0</xdr:row>
                    <xdr:rowOff>47625</xdr:rowOff>
                  </from>
                  <to>
                    <xdr:col>6</xdr:col>
                    <xdr:colOff>57150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Sheet2.ExportEXCEL_Click">
                <anchor moveWithCells="1" sizeWithCells="1">
                  <from>
                    <xdr:col>5</xdr:col>
                    <xdr:colOff>0</xdr:colOff>
                    <xdr:row>0</xdr:row>
                    <xdr:rowOff>314325</xdr:rowOff>
                  </from>
                  <to>
                    <xdr:col>6</xdr:col>
                    <xdr:colOff>57150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Sheet2.PNPYamaha_Click">
                <anchor moveWithCells="1" sizeWithCells="1">
                  <from>
                    <xdr:col>6</xdr:col>
                    <xdr:colOff>114300</xdr:colOff>
                    <xdr:row>0</xdr:row>
                    <xdr:rowOff>47625</xdr:rowOff>
                  </from>
                  <to>
                    <xdr:col>8</xdr:col>
                    <xdr:colOff>123825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Sheet2.Undo_Click">
                <anchor moveWithCells="1" sizeWithCells="1">
                  <from>
                    <xdr:col>10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Button 38">
              <controlPr defaultSize="0" print="0" autoFill="0" autoPict="0" macro="[0]!Sheet2.ExportSCRIPT_Click">
                <anchor moveWithCells="1" sizeWithCells="1">
                  <from>
                    <xdr:col>10</xdr:col>
                    <xdr:colOff>209550</xdr:colOff>
                    <xdr:row>0</xdr:row>
                    <xdr:rowOff>323850</xdr:rowOff>
                  </from>
                  <to>
                    <xdr:col>12</xdr:col>
                    <xdr:colOff>66675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7" name="Button 39">
              <controlPr defaultSize="0" print="0" autoFill="0" autoPict="0" macro="[0]!Sheet2.MoveManual_Click">
                <anchor moveWithCells="1" sizeWithCells="1">
                  <from>
                    <xdr:col>12</xdr:col>
                    <xdr:colOff>114300</xdr:colOff>
                    <xdr:row>0</xdr:row>
                    <xdr:rowOff>47625</xdr:rowOff>
                  </from>
                  <to>
                    <xdr:col>13</xdr:col>
                    <xdr:colOff>581025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8" name="Button 40">
              <controlPr defaultSize="0" print="0" autoFill="0" autoPict="0" macro="[0]!Sheet2.UpdateChart_Click">
                <anchor moveWithCells="1" sizeWithCells="1">
                  <from>
                    <xdr:col>12</xdr:col>
                    <xdr:colOff>123825</xdr:colOff>
                    <xdr:row>0</xdr:row>
                    <xdr:rowOff>323850</xdr:rowOff>
                  </from>
                  <to>
                    <xdr:col>13</xdr:col>
                    <xdr:colOff>590550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2BEE0-AED7-4934-89F0-72F885B138F5}">
  <sheetPr codeName="Sheet1"/>
  <dimension ref="A1"/>
  <sheetViews>
    <sheetView zoomScaleNormal="100" workbookViewId="0">
      <selection activeCell="M20" sqref="M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G207"/>
  <sheetViews>
    <sheetView workbookViewId="0">
      <pane ySplit="1" topLeftCell="A2" activePane="bottomLeft" state="frozen"/>
      <selection pane="bottomLeft" activeCell="J18" sqref="J18"/>
    </sheetView>
  </sheetViews>
  <sheetFormatPr defaultRowHeight="15" x14ac:dyDescent="0.25"/>
  <cols>
    <col min="1" max="1" width="27.85546875" customWidth="1"/>
    <col min="2" max="2" width="21.7109375" customWidth="1"/>
    <col min="3" max="3" width="12.28515625" customWidth="1"/>
    <col min="4" max="4" width="17.28515625" customWidth="1"/>
    <col min="25" max="25" width="9.7109375" style="48" bestFit="1" customWidth="1"/>
    <col min="26" max="26" width="10.28515625" style="48" bestFit="1" customWidth="1"/>
    <col min="27" max="28" width="9.5703125" style="45" customWidth="1"/>
    <col min="29" max="29" width="9.5703125" style="44" customWidth="1"/>
    <col min="30" max="31" width="9.5703125" style="47" customWidth="1"/>
    <col min="32" max="33" width="9.5703125" customWidth="1"/>
  </cols>
  <sheetData>
    <row r="1" spans="1:33" s="50" customFormat="1" ht="33.75" customHeight="1" x14ac:dyDescent="0.25">
      <c r="A1" s="49" t="s">
        <v>3</v>
      </c>
      <c r="B1" s="49" t="s">
        <v>15</v>
      </c>
      <c r="C1" s="49" t="s">
        <v>46</v>
      </c>
      <c r="D1" s="49"/>
      <c r="Y1" s="51"/>
      <c r="Z1" s="51"/>
      <c r="AA1" s="52" t="s">
        <v>381</v>
      </c>
      <c r="AB1" s="52" t="s">
        <v>382</v>
      </c>
      <c r="AC1" s="52" t="s">
        <v>383</v>
      </c>
      <c r="AD1" s="52" t="s">
        <v>384</v>
      </c>
      <c r="AE1" s="52" t="s">
        <v>385</v>
      </c>
      <c r="AF1" s="52"/>
      <c r="AG1" s="52"/>
    </row>
    <row r="2" spans="1:33" ht="15" customHeight="1" x14ac:dyDescent="0.25">
      <c r="A2" t="s">
        <v>406</v>
      </c>
      <c r="B2" t="s">
        <v>407</v>
      </c>
      <c r="C2">
        <v>1</v>
      </c>
      <c r="J2" s="12"/>
    </row>
    <row r="3" spans="1:33" x14ac:dyDescent="0.25">
      <c r="A3" t="s">
        <v>359</v>
      </c>
      <c r="B3" t="s">
        <v>408</v>
      </c>
      <c r="C3">
        <v>1</v>
      </c>
    </row>
    <row r="4" spans="1:33" x14ac:dyDescent="0.25">
      <c r="A4" t="s">
        <v>409</v>
      </c>
      <c r="B4" t="s">
        <v>407</v>
      </c>
      <c r="C4">
        <v>1</v>
      </c>
      <c r="J4" s="12"/>
    </row>
    <row r="5" spans="1:33" x14ac:dyDescent="0.25">
      <c r="A5" t="s">
        <v>410</v>
      </c>
      <c r="B5" t="s">
        <v>408</v>
      </c>
      <c r="C5">
        <v>1</v>
      </c>
      <c r="J5" s="12"/>
    </row>
    <row r="6" spans="1:33" x14ac:dyDescent="0.25">
      <c r="A6" t="s">
        <v>388</v>
      </c>
      <c r="B6" t="s">
        <v>411</v>
      </c>
      <c r="C6">
        <v>1</v>
      </c>
      <c r="J6" s="12"/>
    </row>
    <row r="7" spans="1:33" ht="15" customHeight="1" x14ac:dyDescent="0.25">
      <c r="A7" t="s">
        <v>306</v>
      </c>
      <c r="B7" t="s">
        <v>411</v>
      </c>
      <c r="C7">
        <v>1</v>
      </c>
    </row>
    <row r="8" spans="1:33" x14ac:dyDescent="0.25">
      <c r="A8" t="s">
        <v>389</v>
      </c>
      <c r="B8" t="s">
        <v>412</v>
      </c>
      <c r="C8">
        <v>1</v>
      </c>
      <c r="J8" s="12"/>
    </row>
    <row r="9" spans="1:33" x14ac:dyDescent="0.25">
      <c r="A9" t="s">
        <v>390</v>
      </c>
      <c r="B9" t="s">
        <v>413</v>
      </c>
      <c r="C9">
        <v>1</v>
      </c>
    </row>
    <row r="10" spans="1:33" x14ac:dyDescent="0.25">
      <c r="A10" t="s">
        <v>386</v>
      </c>
      <c r="B10" t="s">
        <v>412</v>
      </c>
      <c r="C10">
        <v>1</v>
      </c>
    </row>
    <row r="11" spans="1:33" x14ac:dyDescent="0.25">
      <c r="A11" t="s">
        <v>391</v>
      </c>
      <c r="B11" t="s">
        <v>413</v>
      </c>
      <c r="C11">
        <v>1</v>
      </c>
    </row>
    <row r="12" spans="1:33" x14ac:dyDescent="0.25">
      <c r="A12" t="s">
        <v>392</v>
      </c>
      <c r="B12" t="s">
        <v>414</v>
      </c>
      <c r="C12">
        <v>1</v>
      </c>
      <c r="J12" s="12"/>
    </row>
    <row r="13" spans="1:33" x14ac:dyDescent="0.25">
      <c r="A13" t="s">
        <v>387</v>
      </c>
      <c r="B13" t="s">
        <v>415</v>
      </c>
      <c r="C13">
        <v>1</v>
      </c>
      <c r="J13" s="12"/>
    </row>
    <row r="14" spans="1:33" x14ac:dyDescent="0.25">
      <c r="A14" t="s">
        <v>393</v>
      </c>
      <c r="B14" t="s">
        <v>413</v>
      </c>
      <c r="C14">
        <v>1</v>
      </c>
      <c r="J14" s="12"/>
    </row>
    <row r="15" spans="1:33" x14ac:dyDescent="0.25">
      <c r="A15" t="s">
        <v>394</v>
      </c>
      <c r="B15" t="s">
        <v>416</v>
      </c>
      <c r="C15">
        <v>1</v>
      </c>
      <c r="J15" s="12"/>
    </row>
    <row r="16" spans="1:33" x14ac:dyDescent="0.25">
      <c r="A16" t="s">
        <v>398</v>
      </c>
      <c r="B16" t="s">
        <v>417</v>
      </c>
      <c r="C16">
        <v>1</v>
      </c>
      <c r="J16" s="12"/>
    </row>
    <row r="17" spans="1:27" x14ac:dyDescent="0.25">
      <c r="A17" t="s">
        <v>399</v>
      </c>
      <c r="B17" t="s">
        <v>417</v>
      </c>
      <c r="C17">
        <v>1</v>
      </c>
      <c r="J17" s="12"/>
    </row>
    <row r="18" spans="1:27" x14ac:dyDescent="0.25">
      <c r="A18" t="s">
        <v>400</v>
      </c>
      <c r="B18" t="s">
        <v>417</v>
      </c>
      <c r="C18">
        <v>1</v>
      </c>
      <c r="J18" s="12"/>
    </row>
    <row r="19" spans="1:27" x14ac:dyDescent="0.25">
      <c r="A19" t="s">
        <v>401</v>
      </c>
      <c r="B19" t="s">
        <v>417</v>
      </c>
      <c r="C19">
        <v>1</v>
      </c>
    </row>
    <row r="20" spans="1:27" x14ac:dyDescent="0.25">
      <c r="A20" t="s">
        <v>402</v>
      </c>
      <c r="B20" t="s">
        <v>417</v>
      </c>
      <c r="C20">
        <v>1</v>
      </c>
      <c r="J20" s="12"/>
    </row>
    <row r="21" spans="1:27" x14ac:dyDescent="0.25">
      <c r="A21" t="s">
        <v>403</v>
      </c>
      <c r="B21" t="s">
        <v>417</v>
      </c>
      <c r="C21">
        <v>1</v>
      </c>
      <c r="J21" s="12"/>
    </row>
    <row r="22" spans="1:27" x14ac:dyDescent="0.25">
      <c r="A22" t="s">
        <v>404</v>
      </c>
      <c r="B22" t="s">
        <v>417</v>
      </c>
      <c r="C22">
        <v>1</v>
      </c>
      <c r="J22" s="12"/>
    </row>
    <row r="23" spans="1:27" x14ac:dyDescent="0.25">
      <c r="A23" t="s">
        <v>405</v>
      </c>
      <c r="B23" t="s">
        <v>417</v>
      </c>
      <c r="C23">
        <v>1</v>
      </c>
    </row>
    <row r="24" spans="1:27" x14ac:dyDescent="0.25">
      <c r="A24" t="s">
        <v>418</v>
      </c>
      <c r="B24" t="s">
        <v>419</v>
      </c>
      <c r="C24">
        <v>1</v>
      </c>
      <c r="J24" s="12"/>
    </row>
    <row r="25" spans="1:27" x14ac:dyDescent="0.25">
      <c r="A25" t="s">
        <v>420</v>
      </c>
      <c r="B25" t="s">
        <v>421</v>
      </c>
      <c r="C25">
        <v>1</v>
      </c>
      <c r="J25" s="12"/>
    </row>
    <row r="26" spans="1:27" x14ac:dyDescent="0.25">
      <c r="A26" t="s">
        <v>395</v>
      </c>
      <c r="B26" t="s">
        <v>422</v>
      </c>
      <c r="C26">
        <v>1</v>
      </c>
      <c r="AA26" s="46"/>
    </row>
    <row r="27" spans="1:27" x14ac:dyDescent="0.25">
      <c r="A27" t="s">
        <v>396</v>
      </c>
      <c r="B27" t="s">
        <v>423</v>
      </c>
      <c r="C27">
        <v>1</v>
      </c>
      <c r="J27" s="12"/>
    </row>
    <row r="28" spans="1:27" x14ac:dyDescent="0.25">
      <c r="A28" t="s">
        <v>397</v>
      </c>
      <c r="B28" t="s">
        <v>423</v>
      </c>
      <c r="C28">
        <v>1</v>
      </c>
    </row>
    <row r="29" spans="1:27" ht="15" customHeight="1" x14ac:dyDescent="0.25">
      <c r="J29" s="12"/>
    </row>
    <row r="30" spans="1:27" x14ac:dyDescent="0.25">
      <c r="J30" s="12"/>
    </row>
    <row r="31" spans="1:27" x14ac:dyDescent="0.25">
      <c r="J31" s="12"/>
    </row>
    <row r="32" spans="1:27" x14ac:dyDescent="0.25">
      <c r="J32" s="12"/>
    </row>
    <row r="34" spans="10:30" x14ac:dyDescent="0.25">
      <c r="J34" s="12"/>
    </row>
    <row r="35" spans="10:30" x14ac:dyDescent="0.25">
      <c r="J35" s="12"/>
    </row>
    <row r="36" spans="10:30" x14ac:dyDescent="0.25">
      <c r="J36" s="12"/>
    </row>
    <row r="37" spans="10:30" x14ac:dyDescent="0.25">
      <c r="J37" s="12"/>
    </row>
    <row r="38" spans="10:30" x14ac:dyDescent="0.25">
      <c r="J38" s="12"/>
    </row>
    <row r="40" spans="10:30" x14ac:dyDescent="0.25">
      <c r="J40" s="12"/>
    </row>
    <row r="41" spans="10:30" x14ac:dyDescent="0.25">
      <c r="J41" s="12"/>
    </row>
    <row r="43" spans="10:30" x14ac:dyDescent="0.25">
      <c r="J43" s="12"/>
    </row>
    <row r="44" spans="10:30" x14ac:dyDescent="0.25">
      <c r="J44" s="12"/>
      <c r="AD44" s="44"/>
    </row>
    <row r="45" spans="10:30" x14ac:dyDescent="0.25">
      <c r="J45" s="12"/>
    </row>
    <row r="46" spans="10:30" x14ac:dyDescent="0.25">
      <c r="J46" s="12"/>
    </row>
    <row r="47" spans="10:30" x14ac:dyDescent="0.25">
      <c r="J47" s="12"/>
    </row>
    <row r="48" spans="10:30" x14ac:dyDescent="0.25">
      <c r="J48" s="12"/>
    </row>
    <row r="49" spans="1:10" x14ac:dyDescent="0.25">
      <c r="J49" s="12"/>
    </row>
    <row r="51" spans="1:10" x14ac:dyDescent="0.25">
      <c r="J51" s="12"/>
    </row>
    <row r="52" spans="1:10" x14ac:dyDescent="0.25">
      <c r="J52" s="12"/>
    </row>
    <row r="55" spans="1:10" x14ac:dyDescent="0.25">
      <c r="J55" s="12"/>
    </row>
    <row r="56" spans="1:10" x14ac:dyDescent="0.25">
      <c r="A56" s="31"/>
      <c r="J56" s="12"/>
    </row>
    <row r="57" spans="1:10" x14ac:dyDescent="0.25">
      <c r="J57" s="12"/>
    </row>
    <row r="59" spans="1:10" x14ac:dyDescent="0.25">
      <c r="J59" s="12"/>
    </row>
    <row r="60" spans="1:10" x14ac:dyDescent="0.25">
      <c r="J60" s="12"/>
    </row>
    <row r="61" spans="1:10" x14ac:dyDescent="0.25">
      <c r="J61" s="12"/>
    </row>
    <row r="62" spans="1:10" x14ac:dyDescent="0.25">
      <c r="J62" s="12"/>
    </row>
    <row r="63" spans="1:10" x14ac:dyDescent="0.25">
      <c r="J63" s="12"/>
    </row>
    <row r="64" spans="1:10" x14ac:dyDescent="0.25">
      <c r="J64" s="12"/>
    </row>
    <row r="65" spans="10:10" x14ac:dyDescent="0.25">
      <c r="J65" s="12"/>
    </row>
    <row r="66" spans="10:10" x14ac:dyDescent="0.25">
      <c r="J66" s="12"/>
    </row>
    <row r="67" spans="10:10" x14ac:dyDescent="0.25">
      <c r="J67" s="12"/>
    </row>
    <row r="68" spans="10:10" x14ac:dyDescent="0.25">
      <c r="J68" s="12"/>
    </row>
    <row r="69" spans="10:10" x14ac:dyDescent="0.25">
      <c r="J69" s="12"/>
    </row>
    <row r="70" spans="10:10" x14ac:dyDescent="0.25">
      <c r="J70" s="12"/>
    </row>
    <row r="71" spans="10:10" x14ac:dyDescent="0.25">
      <c r="J71" s="12"/>
    </row>
    <row r="72" spans="10:10" x14ac:dyDescent="0.25">
      <c r="J72" s="12"/>
    </row>
    <row r="73" spans="10:10" x14ac:dyDescent="0.25">
      <c r="J73" s="12"/>
    </row>
    <row r="74" spans="10:10" x14ac:dyDescent="0.25">
      <c r="J74" s="12"/>
    </row>
    <row r="75" spans="10:10" x14ac:dyDescent="0.25">
      <c r="J75" s="12"/>
    </row>
    <row r="76" spans="10:10" x14ac:dyDescent="0.25">
      <c r="J76" s="12"/>
    </row>
    <row r="77" spans="10:10" x14ac:dyDescent="0.25">
      <c r="J77" s="12"/>
    </row>
    <row r="78" spans="10:10" x14ac:dyDescent="0.25">
      <c r="J78" s="12"/>
    </row>
    <row r="79" spans="10:10" x14ac:dyDescent="0.25">
      <c r="J79" s="12"/>
    </row>
    <row r="80" spans="10:10" x14ac:dyDescent="0.25">
      <c r="J80" s="12"/>
    </row>
    <row r="81" spans="10:10" x14ac:dyDescent="0.25">
      <c r="J81" s="12"/>
    </row>
    <row r="82" spans="10:10" x14ac:dyDescent="0.25">
      <c r="J82" s="12"/>
    </row>
    <row r="83" spans="10:10" x14ac:dyDescent="0.25">
      <c r="J83" s="12"/>
    </row>
    <row r="84" spans="10:10" x14ac:dyDescent="0.25">
      <c r="J84" s="12"/>
    </row>
    <row r="85" spans="10:10" x14ac:dyDescent="0.25">
      <c r="J85" s="12"/>
    </row>
    <row r="86" spans="10:10" x14ac:dyDescent="0.25">
      <c r="J86" s="12"/>
    </row>
    <row r="87" spans="10:10" x14ac:dyDescent="0.25">
      <c r="J87" s="12"/>
    </row>
    <row r="88" spans="10:10" x14ac:dyDescent="0.25">
      <c r="J88" s="12"/>
    </row>
    <row r="89" spans="10:10" x14ac:dyDescent="0.25">
      <c r="J89" s="12"/>
    </row>
    <row r="90" spans="10:10" x14ac:dyDescent="0.25">
      <c r="J90" s="12"/>
    </row>
    <row r="91" spans="10:10" x14ac:dyDescent="0.25">
      <c r="J91" s="12"/>
    </row>
    <row r="92" spans="10:10" x14ac:dyDescent="0.25">
      <c r="J92" s="12"/>
    </row>
    <row r="93" spans="10:10" x14ac:dyDescent="0.25">
      <c r="J93" s="12"/>
    </row>
    <row r="94" spans="10:10" x14ac:dyDescent="0.25">
      <c r="J94" s="12"/>
    </row>
    <row r="95" spans="10:10" x14ac:dyDescent="0.25">
      <c r="J95" s="12"/>
    </row>
    <row r="96" spans="10:10" x14ac:dyDescent="0.25">
      <c r="J96" s="12"/>
    </row>
    <row r="97" spans="10:10" x14ac:dyDescent="0.25">
      <c r="J97" s="12"/>
    </row>
    <row r="98" spans="10:10" x14ac:dyDescent="0.25">
      <c r="J98" s="12"/>
    </row>
    <row r="99" spans="10:10" x14ac:dyDescent="0.25">
      <c r="J99" s="12"/>
    </row>
    <row r="100" spans="10:10" x14ac:dyDescent="0.25">
      <c r="J100" s="12"/>
    </row>
    <row r="101" spans="10:10" x14ac:dyDescent="0.25">
      <c r="J101" s="12"/>
    </row>
    <row r="102" spans="10:10" x14ac:dyDescent="0.25">
      <c r="J102" s="12"/>
    </row>
    <row r="103" spans="10:10" x14ac:dyDescent="0.25">
      <c r="J103" s="12"/>
    </row>
    <row r="104" spans="10:10" x14ac:dyDescent="0.25">
      <c r="J104" s="12"/>
    </row>
    <row r="105" spans="10:10" x14ac:dyDescent="0.25">
      <c r="J105" s="12"/>
    </row>
    <row r="106" spans="10:10" x14ac:dyDescent="0.25">
      <c r="J106" s="12"/>
    </row>
    <row r="107" spans="10:10" x14ac:dyDescent="0.25">
      <c r="J107" s="12"/>
    </row>
    <row r="108" spans="10:10" x14ac:dyDescent="0.25">
      <c r="J108" s="12"/>
    </row>
    <row r="109" spans="10:10" x14ac:dyDescent="0.25">
      <c r="J109" s="12"/>
    </row>
    <row r="110" spans="10:10" x14ac:dyDescent="0.25">
      <c r="J110" s="12"/>
    </row>
    <row r="111" spans="10:10" x14ac:dyDescent="0.25">
      <c r="J111" s="12"/>
    </row>
    <row r="112" spans="10:10" x14ac:dyDescent="0.25">
      <c r="J112" s="12"/>
    </row>
    <row r="113" spans="10:10" x14ac:dyDescent="0.25">
      <c r="J113" s="12"/>
    </row>
    <row r="114" spans="10:10" x14ac:dyDescent="0.25">
      <c r="J114" s="12"/>
    </row>
    <row r="115" spans="10:10" x14ac:dyDescent="0.25">
      <c r="J115" s="12"/>
    </row>
    <row r="116" spans="10:10" x14ac:dyDescent="0.25">
      <c r="J116" s="12"/>
    </row>
    <row r="117" spans="10:10" x14ac:dyDescent="0.25">
      <c r="J117" s="12"/>
    </row>
    <row r="118" spans="10:10" x14ac:dyDescent="0.25">
      <c r="J118" s="12"/>
    </row>
    <row r="119" spans="10:10" x14ac:dyDescent="0.25">
      <c r="J119" s="12"/>
    </row>
    <row r="120" spans="10:10" x14ac:dyDescent="0.25">
      <c r="J120" s="12"/>
    </row>
    <row r="121" spans="10:10" x14ac:dyDescent="0.25">
      <c r="J121" s="12"/>
    </row>
    <row r="122" spans="10:10" x14ac:dyDescent="0.25">
      <c r="J122" s="12"/>
    </row>
    <row r="123" spans="10:10" x14ac:dyDescent="0.25">
      <c r="J123" s="12"/>
    </row>
    <row r="124" spans="10:10" x14ac:dyDescent="0.25">
      <c r="J124" s="12"/>
    </row>
    <row r="125" spans="10:10" x14ac:dyDescent="0.25">
      <c r="J125" s="12"/>
    </row>
    <row r="126" spans="10:10" x14ac:dyDescent="0.25">
      <c r="J126" s="12"/>
    </row>
    <row r="127" spans="10:10" x14ac:dyDescent="0.25">
      <c r="J127" s="12"/>
    </row>
    <row r="128" spans="10:10" x14ac:dyDescent="0.25">
      <c r="J128" s="12"/>
    </row>
    <row r="129" spans="10:10" x14ac:dyDescent="0.25">
      <c r="J129" s="12"/>
    </row>
    <row r="130" spans="10:10" x14ac:dyDescent="0.25">
      <c r="J130" s="12"/>
    </row>
    <row r="131" spans="10:10" x14ac:dyDescent="0.25">
      <c r="J131" s="12"/>
    </row>
    <row r="132" spans="10:10" x14ac:dyDescent="0.25">
      <c r="J132" s="12"/>
    </row>
    <row r="133" spans="10:10" x14ac:dyDescent="0.25">
      <c r="J133" s="12"/>
    </row>
    <row r="134" spans="10:10" x14ac:dyDescent="0.25">
      <c r="J134" s="12"/>
    </row>
    <row r="135" spans="10:10" x14ac:dyDescent="0.25">
      <c r="J135" s="12"/>
    </row>
    <row r="136" spans="10:10" x14ac:dyDescent="0.25">
      <c r="J136" s="12"/>
    </row>
    <row r="137" spans="10:10" x14ac:dyDescent="0.25">
      <c r="J137" s="12"/>
    </row>
    <row r="138" spans="10:10" x14ac:dyDescent="0.25">
      <c r="J138" s="12"/>
    </row>
    <row r="139" spans="10:10" x14ac:dyDescent="0.25">
      <c r="J139" s="12"/>
    </row>
    <row r="140" spans="10:10" x14ac:dyDescent="0.25">
      <c r="J140" s="12"/>
    </row>
    <row r="141" spans="10:10" x14ac:dyDescent="0.25">
      <c r="J141" s="12"/>
    </row>
    <row r="142" spans="10:10" x14ac:dyDescent="0.25">
      <c r="J142" s="12"/>
    </row>
    <row r="143" spans="10:10" x14ac:dyDescent="0.25">
      <c r="J143" s="12"/>
    </row>
    <row r="144" spans="10:10" x14ac:dyDescent="0.25">
      <c r="J144" s="12"/>
    </row>
    <row r="145" spans="10:10" x14ac:dyDescent="0.25">
      <c r="J145" s="12"/>
    </row>
    <row r="146" spans="10:10" x14ac:dyDescent="0.25">
      <c r="J146" s="12"/>
    </row>
    <row r="147" spans="10:10" x14ac:dyDescent="0.25">
      <c r="J147" s="12"/>
    </row>
    <row r="148" spans="10:10" x14ac:dyDescent="0.25">
      <c r="J148" s="12"/>
    </row>
    <row r="149" spans="10:10" x14ac:dyDescent="0.25">
      <c r="J149" s="12"/>
    </row>
    <row r="150" spans="10:10" x14ac:dyDescent="0.25">
      <c r="J150" s="12"/>
    </row>
    <row r="151" spans="10:10" x14ac:dyDescent="0.25">
      <c r="J151" s="12"/>
    </row>
    <row r="152" spans="10:10" x14ac:dyDescent="0.25">
      <c r="J152" s="12"/>
    </row>
    <row r="153" spans="10:10" x14ac:dyDescent="0.25">
      <c r="J153" s="12"/>
    </row>
    <row r="154" spans="10:10" x14ac:dyDescent="0.25">
      <c r="J154" s="12"/>
    </row>
    <row r="155" spans="10:10" x14ac:dyDescent="0.25">
      <c r="J155" s="12"/>
    </row>
    <row r="156" spans="10:10" x14ac:dyDescent="0.25">
      <c r="J156" s="12"/>
    </row>
    <row r="157" spans="10:10" x14ac:dyDescent="0.25">
      <c r="J157" s="12"/>
    </row>
    <row r="158" spans="10:10" x14ac:dyDescent="0.25">
      <c r="J158" s="12"/>
    </row>
    <row r="159" spans="10:10" x14ac:dyDescent="0.25">
      <c r="J159" s="12"/>
    </row>
    <row r="160" spans="10:10" x14ac:dyDescent="0.25">
      <c r="J160" s="12"/>
    </row>
    <row r="161" spans="10:10" x14ac:dyDescent="0.25">
      <c r="J161" s="12"/>
    </row>
    <row r="162" spans="10:10" x14ac:dyDescent="0.25">
      <c r="J162" s="12"/>
    </row>
    <row r="163" spans="10:10" x14ac:dyDescent="0.25">
      <c r="J163" s="12"/>
    </row>
    <row r="164" spans="10:10" x14ac:dyDescent="0.25">
      <c r="J164" s="12"/>
    </row>
    <row r="165" spans="10:10" x14ac:dyDescent="0.25">
      <c r="J165" s="12"/>
    </row>
    <row r="166" spans="10:10" x14ac:dyDescent="0.25">
      <c r="J166" s="12"/>
    </row>
    <row r="167" spans="10:10" x14ac:dyDescent="0.25">
      <c r="J167" s="12"/>
    </row>
    <row r="168" spans="10:10" x14ac:dyDescent="0.25">
      <c r="J168" s="12"/>
    </row>
    <row r="169" spans="10:10" x14ac:dyDescent="0.25">
      <c r="J169" s="12"/>
    </row>
    <row r="170" spans="10:10" x14ac:dyDescent="0.25">
      <c r="J170" s="12"/>
    </row>
    <row r="171" spans="10:10" x14ac:dyDescent="0.25">
      <c r="J171" s="12"/>
    </row>
    <row r="172" spans="10:10" x14ac:dyDescent="0.25">
      <c r="J172" s="12"/>
    </row>
    <row r="173" spans="10:10" x14ac:dyDescent="0.25">
      <c r="J173" s="12"/>
    </row>
    <row r="174" spans="10:10" x14ac:dyDescent="0.25">
      <c r="J174" s="12"/>
    </row>
    <row r="175" spans="10:10" x14ac:dyDescent="0.25">
      <c r="J175" s="12"/>
    </row>
    <row r="176" spans="10:10" x14ac:dyDescent="0.25">
      <c r="J176" s="12"/>
    </row>
    <row r="177" spans="10:10" x14ac:dyDescent="0.25">
      <c r="J177" s="12"/>
    </row>
    <row r="178" spans="10:10" x14ac:dyDescent="0.25">
      <c r="J178" s="12"/>
    </row>
    <row r="179" spans="10:10" x14ac:dyDescent="0.25">
      <c r="J179" s="12"/>
    </row>
    <row r="180" spans="10:10" x14ac:dyDescent="0.25">
      <c r="J180" s="12"/>
    </row>
    <row r="181" spans="10:10" x14ac:dyDescent="0.25">
      <c r="J181" s="12"/>
    </row>
    <row r="182" spans="10:10" x14ac:dyDescent="0.25">
      <c r="J182" s="12"/>
    </row>
    <row r="183" spans="10:10" x14ac:dyDescent="0.25">
      <c r="J183" s="12"/>
    </row>
    <row r="184" spans="10:10" x14ac:dyDescent="0.25">
      <c r="J184" s="12"/>
    </row>
    <row r="185" spans="10:10" x14ac:dyDescent="0.25">
      <c r="J185" s="12"/>
    </row>
    <row r="186" spans="10:10" x14ac:dyDescent="0.25">
      <c r="J186" s="12"/>
    </row>
    <row r="187" spans="10:10" x14ac:dyDescent="0.25">
      <c r="J187" s="12"/>
    </row>
    <row r="188" spans="10:10" x14ac:dyDescent="0.25">
      <c r="J188" s="12"/>
    </row>
    <row r="189" spans="10:10" x14ac:dyDescent="0.25">
      <c r="J189" s="12"/>
    </row>
    <row r="190" spans="10:10" x14ac:dyDescent="0.25">
      <c r="J190" s="12"/>
    </row>
    <row r="191" spans="10:10" x14ac:dyDescent="0.25">
      <c r="J191" s="12"/>
    </row>
    <row r="192" spans="10:10" x14ac:dyDescent="0.25">
      <c r="J192" s="12"/>
    </row>
    <row r="193" spans="10:10" x14ac:dyDescent="0.25">
      <c r="J193" s="12"/>
    </row>
    <row r="194" spans="10:10" x14ac:dyDescent="0.25">
      <c r="J194" s="12"/>
    </row>
    <row r="195" spans="10:10" x14ac:dyDescent="0.25">
      <c r="J195" s="12"/>
    </row>
    <row r="196" spans="10:10" x14ac:dyDescent="0.25">
      <c r="J196" s="12"/>
    </row>
    <row r="197" spans="10:10" x14ac:dyDescent="0.25">
      <c r="J197" s="12"/>
    </row>
    <row r="198" spans="10:10" x14ac:dyDescent="0.25">
      <c r="J198" s="12"/>
    </row>
    <row r="199" spans="10:10" x14ac:dyDescent="0.25">
      <c r="J199" s="12"/>
    </row>
    <row r="200" spans="10:10" x14ac:dyDescent="0.25">
      <c r="J200" s="12"/>
    </row>
    <row r="201" spans="10:10" x14ac:dyDescent="0.25">
      <c r="J201" s="12"/>
    </row>
    <row r="202" spans="10:10" x14ac:dyDescent="0.25">
      <c r="J202" s="12"/>
    </row>
    <row r="203" spans="10:10" x14ac:dyDescent="0.25">
      <c r="J203" s="12"/>
    </row>
    <row r="204" spans="10:10" x14ac:dyDescent="0.25">
      <c r="J204" s="12"/>
    </row>
    <row r="205" spans="10:10" x14ac:dyDescent="0.25">
      <c r="J205" s="12"/>
    </row>
    <row r="206" spans="10:10" x14ac:dyDescent="0.25">
      <c r="J206" s="12"/>
    </row>
    <row r="207" spans="10:10" x14ac:dyDescent="0.25">
      <c r="J207" s="12"/>
    </row>
  </sheetData>
  <sortState xmlns:xlrd2="http://schemas.microsoft.com/office/spreadsheetml/2017/richdata2" ref="A2:AG266">
    <sortCondition ref="AF2"/>
    <sortCondition ref="AG2"/>
  </sortState>
  <phoneticPr fontId="38" type="noConversion"/>
  <conditionalFormatting sqref="J10:J18 J27:J207">
    <cfRule type="expression" dxfId="0" priority="1">
      <formula>LEFT($A10, 1)="/"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Sheet9.PasteValues_Click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323850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5" name="Button 6">
              <controlPr defaultSize="0" print="0" autoFill="0" autoPict="0" macro="[0]!Sheet9.SortCells_Click">
                <anchor moveWithCells="1" sizeWithCells="1">
                  <from>
                    <xdr:col>4</xdr:col>
                    <xdr:colOff>419100</xdr:colOff>
                    <xdr:row>0</xdr:row>
                    <xdr:rowOff>85725</xdr:rowOff>
                  </from>
                  <to>
                    <xdr:col>6</xdr:col>
                    <xdr:colOff>571500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6" name="Button 7">
              <controlPr defaultSize="0" print="0" autoFill="0" autoPict="0" macro="[0]!Sheet9.ClearCells_Click">
                <anchor moveWithCells="1" sizeWithCells="1">
                  <from>
                    <xdr:col>7</xdr:col>
                    <xdr:colOff>66675</xdr:colOff>
                    <xdr:row>0</xdr:row>
                    <xdr:rowOff>85725</xdr:rowOff>
                  </from>
                  <to>
                    <xdr:col>9</xdr:col>
                    <xdr:colOff>219075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00"/>
  <sheetViews>
    <sheetView topLeftCell="A13" workbookViewId="0">
      <selection activeCell="L26" sqref="L26"/>
    </sheetView>
  </sheetViews>
  <sheetFormatPr defaultRowHeight="15" x14ac:dyDescent="0.25"/>
  <cols>
    <col min="1" max="1" width="9.7109375" customWidth="1"/>
    <col min="2" max="2" width="19.5703125" customWidth="1"/>
    <col min="3" max="6" width="9.7109375" customWidth="1"/>
  </cols>
  <sheetData>
    <row r="1" spans="1:6" x14ac:dyDescent="0.25">
      <c r="A1" s="23"/>
      <c r="B1" s="23"/>
      <c r="C1" s="61" t="s">
        <v>271</v>
      </c>
      <c r="D1" s="61"/>
      <c r="E1" s="61" t="s">
        <v>270</v>
      </c>
      <c r="F1" s="61"/>
    </row>
    <row r="2" spans="1:6" x14ac:dyDescent="0.25">
      <c r="A2" s="24" t="s">
        <v>3</v>
      </c>
      <c r="B2" s="24" t="s">
        <v>6</v>
      </c>
      <c r="C2" s="24" t="s">
        <v>27</v>
      </c>
      <c r="D2" s="24" t="s">
        <v>28</v>
      </c>
      <c r="E2" s="24" t="s">
        <v>27</v>
      </c>
      <c r="F2" s="24" t="s">
        <v>28</v>
      </c>
    </row>
    <row r="3" spans="1:6" x14ac:dyDescent="0.25">
      <c r="A3" t="s">
        <v>308</v>
      </c>
      <c r="B3" t="s">
        <v>309</v>
      </c>
      <c r="C3">
        <f>IF(A3&lt;&gt;"",ROUND(_xlfn.NUMBERVALUE(LEFT($B3,FIND(":",$B3)-1)),2),"")</f>
        <v>39.15</v>
      </c>
      <c r="D3">
        <f>IF(A3&lt;&gt;"",ROUND(_xlfn.NUMBERVALUE(MID($B3,FIND(":",$B3)+1,LEN($B3))),2),"")</f>
        <v>122.23</v>
      </c>
      <c r="E3">
        <f>IF(A3&lt;&gt;"",ROUND(_xlfn.NUMBERVALUE(LEFT($B3,FIND(":",$B3)-1))*25.4,2),"")</f>
        <v>994.35</v>
      </c>
      <c r="F3">
        <f>IF(A3&lt;&gt;"",ROUND(_xlfn.NUMBERVALUE(MID($B3,FIND(":",$B3)+1,LEN($B3)))*25.4,2),"")</f>
        <v>3104.65</v>
      </c>
    </row>
    <row r="4" spans="1:6" x14ac:dyDescent="0.25">
      <c r="A4" t="s">
        <v>307</v>
      </c>
      <c r="B4" t="s">
        <v>310</v>
      </c>
      <c r="C4">
        <f t="shared" ref="C4:C67" si="0">IF(A4&lt;&gt;"",ROUND(_xlfn.NUMBERVALUE(LEFT($B4,FIND(":",$B4)-1)),2),"")</f>
        <v>33.43</v>
      </c>
      <c r="D4">
        <f t="shared" ref="D4:D67" si="1">IF(A4&lt;&gt;"",ROUND(_xlfn.NUMBERVALUE(MID($B4,FIND(":",$B4)+1,LEN($B4))),2),"")</f>
        <v>121.15</v>
      </c>
      <c r="E4">
        <f t="shared" ref="E4:E67" si="2">IF(A4&lt;&gt;"",ROUND(_xlfn.NUMBERVALUE(LEFT($B4,FIND(":",$B4)-1))*25.4,2),"")</f>
        <v>849.03</v>
      </c>
      <c r="F4">
        <f t="shared" ref="F4:F67" si="3">IF(A4&lt;&gt;"",ROUND(_xlfn.NUMBERVALUE(MID($B4,FIND(":",$B4)+1,LEN($B4)))*25.4,2),"")</f>
        <v>3077.1</v>
      </c>
    </row>
    <row r="5" spans="1:6" x14ac:dyDescent="0.25">
      <c r="A5" t="s">
        <v>311</v>
      </c>
      <c r="B5" t="s">
        <v>312</v>
      </c>
      <c r="C5">
        <f t="shared" si="0"/>
        <v>33.28</v>
      </c>
      <c r="D5">
        <f t="shared" si="1"/>
        <v>124.82</v>
      </c>
      <c r="E5">
        <f t="shared" si="2"/>
        <v>845.22</v>
      </c>
      <c r="F5">
        <f t="shared" si="3"/>
        <v>3170.39</v>
      </c>
    </row>
    <row r="6" spans="1:6" x14ac:dyDescent="0.25">
      <c r="A6" t="s">
        <v>313</v>
      </c>
      <c r="B6" t="s">
        <v>314</v>
      </c>
      <c r="C6">
        <f t="shared" si="0"/>
        <v>33.28</v>
      </c>
      <c r="D6">
        <f t="shared" si="1"/>
        <v>126.9</v>
      </c>
      <c r="E6">
        <f t="shared" si="2"/>
        <v>845.42</v>
      </c>
      <c r="F6">
        <f t="shared" si="3"/>
        <v>3223.36</v>
      </c>
    </row>
    <row r="7" spans="1:6" x14ac:dyDescent="0.25">
      <c r="A7" t="s">
        <v>315</v>
      </c>
      <c r="B7" t="s">
        <v>316</v>
      </c>
      <c r="C7">
        <f t="shared" si="0"/>
        <v>33.340000000000003</v>
      </c>
      <c r="D7">
        <f t="shared" si="1"/>
        <v>128.61000000000001</v>
      </c>
      <c r="E7">
        <f t="shared" si="2"/>
        <v>846.77</v>
      </c>
      <c r="F7">
        <f t="shared" si="3"/>
        <v>3266.58</v>
      </c>
    </row>
    <row r="8" spans="1:6" x14ac:dyDescent="0.25">
      <c r="A8" t="s">
        <v>317</v>
      </c>
      <c r="B8" t="s">
        <v>318</v>
      </c>
      <c r="C8">
        <f t="shared" si="0"/>
        <v>33.340000000000003</v>
      </c>
      <c r="D8">
        <f t="shared" si="1"/>
        <v>130.47999999999999</v>
      </c>
      <c r="E8">
        <f t="shared" si="2"/>
        <v>846.77</v>
      </c>
      <c r="F8">
        <f t="shared" si="3"/>
        <v>3314.19</v>
      </c>
    </row>
    <row r="9" spans="1:6" x14ac:dyDescent="0.25">
      <c r="A9" t="s">
        <v>319</v>
      </c>
      <c r="B9" t="s">
        <v>320</v>
      </c>
      <c r="C9">
        <f t="shared" si="0"/>
        <v>31.05</v>
      </c>
      <c r="D9">
        <f t="shared" si="1"/>
        <v>131.21</v>
      </c>
      <c r="E9">
        <f t="shared" si="2"/>
        <v>788.71</v>
      </c>
      <c r="F9">
        <f t="shared" si="3"/>
        <v>3332.84</v>
      </c>
    </row>
    <row r="10" spans="1:6" x14ac:dyDescent="0.25">
      <c r="A10" t="s">
        <v>321</v>
      </c>
      <c r="B10" t="s">
        <v>322</v>
      </c>
      <c r="C10">
        <f t="shared" si="0"/>
        <v>31.07</v>
      </c>
      <c r="D10">
        <f t="shared" si="1"/>
        <v>127.84</v>
      </c>
      <c r="E10">
        <f t="shared" si="2"/>
        <v>789.29</v>
      </c>
      <c r="F10">
        <f t="shared" si="3"/>
        <v>3247.1</v>
      </c>
    </row>
    <row r="11" spans="1:6" x14ac:dyDescent="0.25">
      <c r="A11" t="s">
        <v>323</v>
      </c>
      <c r="B11" t="s">
        <v>324</v>
      </c>
      <c r="C11">
        <f t="shared" si="0"/>
        <v>28.92</v>
      </c>
      <c r="D11">
        <f t="shared" si="1"/>
        <v>130.28</v>
      </c>
      <c r="E11">
        <f t="shared" si="2"/>
        <v>734.51</v>
      </c>
      <c r="F11">
        <f t="shared" si="3"/>
        <v>3309.1</v>
      </c>
    </row>
    <row r="12" spans="1:6" x14ac:dyDescent="0.25">
      <c r="A12" t="s">
        <v>325</v>
      </c>
      <c r="B12" t="s">
        <v>326</v>
      </c>
      <c r="C12">
        <f t="shared" si="0"/>
        <v>28.92</v>
      </c>
      <c r="D12">
        <f t="shared" si="1"/>
        <v>131.68</v>
      </c>
      <c r="E12">
        <f t="shared" si="2"/>
        <v>734.51</v>
      </c>
      <c r="F12">
        <f t="shared" si="3"/>
        <v>3344.65</v>
      </c>
    </row>
    <row r="13" spans="1:6" x14ac:dyDescent="0.25">
      <c r="A13" t="s">
        <v>327</v>
      </c>
      <c r="B13" t="s">
        <v>328</v>
      </c>
      <c r="C13">
        <f t="shared" si="0"/>
        <v>26.75</v>
      </c>
      <c r="D13">
        <f t="shared" si="1"/>
        <v>130.88999999999999</v>
      </c>
      <c r="E13">
        <f t="shared" si="2"/>
        <v>679.48</v>
      </c>
      <c r="F13">
        <f t="shared" si="3"/>
        <v>3324.71</v>
      </c>
    </row>
    <row r="14" spans="1:6" x14ac:dyDescent="0.25">
      <c r="A14" t="s">
        <v>329</v>
      </c>
      <c r="B14" t="s">
        <v>330</v>
      </c>
      <c r="C14">
        <f t="shared" si="0"/>
        <v>27.05</v>
      </c>
      <c r="D14">
        <f t="shared" si="1"/>
        <v>125.98</v>
      </c>
      <c r="E14">
        <f t="shared" si="2"/>
        <v>687</v>
      </c>
      <c r="F14">
        <f t="shared" si="3"/>
        <v>3199.94</v>
      </c>
    </row>
    <row r="15" spans="1:6" x14ac:dyDescent="0.25">
      <c r="A15" t="s">
        <v>331</v>
      </c>
      <c r="B15" t="s">
        <v>332</v>
      </c>
      <c r="C15">
        <f t="shared" si="0"/>
        <v>23.23</v>
      </c>
      <c r="D15">
        <f t="shared" si="1"/>
        <v>131.35</v>
      </c>
      <c r="E15">
        <f t="shared" si="2"/>
        <v>590.13</v>
      </c>
      <c r="F15">
        <f t="shared" si="3"/>
        <v>3336.39</v>
      </c>
    </row>
    <row r="16" spans="1:6" x14ac:dyDescent="0.25">
      <c r="A16" t="s">
        <v>333</v>
      </c>
      <c r="B16" t="s">
        <v>334</v>
      </c>
      <c r="C16">
        <f t="shared" si="0"/>
        <v>22.66</v>
      </c>
      <c r="D16">
        <f t="shared" si="1"/>
        <v>129.33000000000001</v>
      </c>
      <c r="E16">
        <f t="shared" si="2"/>
        <v>575.61</v>
      </c>
      <c r="F16">
        <f t="shared" si="3"/>
        <v>3284.97</v>
      </c>
    </row>
    <row r="17" spans="1:6" x14ac:dyDescent="0.25">
      <c r="A17" t="s">
        <v>335</v>
      </c>
      <c r="B17" t="s">
        <v>336</v>
      </c>
      <c r="C17">
        <f t="shared" si="0"/>
        <v>22.39</v>
      </c>
      <c r="D17">
        <f t="shared" si="1"/>
        <v>126.83</v>
      </c>
      <c r="E17">
        <f t="shared" si="2"/>
        <v>568.58000000000004</v>
      </c>
      <c r="F17">
        <f t="shared" si="3"/>
        <v>3221.49</v>
      </c>
    </row>
    <row r="18" spans="1:6" x14ac:dyDescent="0.25">
      <c r="A18" t="s">
        <v>337</v>
      </c>
      <c r="B18" t="s">
        <v>338</v>
      </c>
      <c r="C18">
        <f t="shared" si="0"/>
        <v>22.97</v>
      </c>
      <c r="D18">
        <f t="shared" si="1"/>
        <v>123.91</v>
      </c>
      <c r="E18">
        <f t="shared" si="2"/>
        <v>583.54999999999995</v>
      </c>
      <c r="F18">
        <f t="shared" si="3"/>
        <v>3147.42</v>
      </c>
    </row>
    <row r="19" spans="1:6" x14ac:dyDescent="0.25">
      <c r="A19" t="s">
        <v>339</v>
      </c>
      <c r="B19" t="s">
        <v>340</v>
      </c>
      <c r="C19">
        <f t="shared" si="0"/>
        <v>25.52</v>
      </c>
      <c r="D19">
        <f t="shared" si="1"/>
        <v>121.94</v>
      </c>
      <c r="E19">
        <f t="shared" si="2"/>
        <v>648.32000000000005</v>
      </c>
      <c r="F19">
        <f t="shared" si="3"/>
        <v>3097.23</v>
      </c>
    </row>
    <row r="20" spans="1:6" x14ac:dyDescent="0.25">
      <c r="A20" t="s">
        <v>341</v>
      </c>
      <c r="B20" t="s">
        <v>342</v>
      </c>
      <c r="C20">
        <f t="shared" si="0"/>
        <v>28.61</v>
      </c>
      <c r="D20">
        <f t="shared" si="1"/>
        <v>121.35</v>
      </c>
      <c r="E20">
        <f t="shared" si="2"/>
        <v>726.77</v>
      </c>
      <c r="F20">
        <f t="shared" si="3"/>
        <v>3082.39</v>
      </c>
    </row>
    <row r="21" spans="1:6" x14ac:dyDescent="0.25">
      <c r="A21" t="s">
        <v>343</v>
      </c>
      <c r="B21" t="s">
        <v>344</v>
      </c>
      <c r="C21">
        <f t="shared" si="0"/>
        <v>28.61</v>
      </c>
      <c r="D21">
        <f t="shared" si="1"/>
        <v>119.53</v>
      </c>
      <c r="E21">
        <f t="shared" si="2"/>
        <v>726.77</v>
      </c>
      <c r="F21">
        <f t="shared" si="3"/>
        <v>3036.07</v>
      </c>
    </row>
    <row r="22" spans="1:6" x14ac:dyDescent="0.25">
      <c r="A22" t="s">
        <v>345</v>
      </c>
      <c r="B22" t="s">
        <v>346</v>
      </c>
      <c r="C22">
        <f t="shared" si="0"/>
        <v>17.510000000000002</v>
      </c>
      <c r="D22">
        <f t="shared" si="1"/>
        <v>123.45</v>
      </c>
      <c r="E22">
        <f t="shared" si="2"/>
        <v>444.84</v>
      </c>
      <c r="F22">
        <f t="shared" si="3"/>
        <v>3135.74</v>
      </c>
    </row>
    <row r="23" spans="1:6" x14ac:dyDescent="0.25">
      <c r="A23" t="s">
        <v>347</v>
      </c>
      <c r="B23" t="s">
        <v>348</v>
      </c>
      <c r="C23">
        <f t="shared" si="0"/>
        <v>22.73</v>
      </c>
      <c r="D23">
        <f t="shared" si="1"/>
        <v>117.44</v>
      </c>
      <c r="E23">
        <f t="shared" si="2"/>
        <v>577.22</v>
      </c>
      <c r="F23">
        <f t="shared" si="3"/>
        <v>2982.97</v>
      </c>
    </row>
    <row r="24" spans="1:6" x14ac:dyDescent="0.25">
      <c r="A24" t="s">
        <v>349</v>
      </c>
      <c r="B24" t="s">
        <v>350</v>
      </c>
      <c r="C24">
        <f t="shared" si="0"/>
        <v>21</v>
      </c>
      <c r="D24">
        <f t="shared" si="1"/>
        <v>118.89</v>
      </c>
      <c r="E24">
        <f t="shared" si="2"/>
        <v>533.41999999999996</v>
      </c>
      <c r="F24">
        <f t="shared" si="3"/>
        <v>3019.74</v>
      </c>
    </row>
    <row r="25" spans="1:6" x14ac:dyDescent="0.25">
      <c r="A25" t="s">
        <v>351</v>
      </c>
      <c r="B25" t="s">
        <v>352</v>
      </c>
      <c r="C25">
        <f t="shared" si="0"/>
        <v>18.93</v>
      </c>
      <c r="D25">
        <f t="shared" si="1"/>
        <v>118.9</v>
      </c>
      <c r="E25">
        <f t="shared" si="2"/>
        <v>480.71</v>
      </c>
      <c r="F25">
        <f t="shared" si="3"/>
        <v>3020</v>
      </c>
    </row>
    <row r="26" spans="1:6" x14ac:dyDescent="0.25">
      <c r="A26" t="s">
        <v>353</v>
      </c>
      <c r="B26" t="s">
        <v>354</v>
      </c>
      <c r="C26">
        <f t="shared" si="0"/>
        <v>16.97</v>
      </c>
      <c r="D26">
        <f t="shared" si="1"/>
        <v>118.32</v>
      </c>
      <c r="E26">
        <f t="shared" si="2"/>
        <v>431.16</v>
      </c>
      <c r="F26">
        <f t="shared" si="3"/>
        <v>3005.23</v>
      </c>
    </row>
    <row r="27" spans="1:6" x14ac:dyDescent="0.25">
      <c r="A27" t="s">
        <v>355</v>
      </c>
      <c r="B27" t="s">
        <v>356</v>
      </c>
      <c r="C27">
        <f t="shared" si="0"/>
        <v>14.95</v>
      </c>
      <c r="D27">
        <f t="shared" si="1"/>
        <v>113.84</v>
      </c>
      <c r="E27">
        <f t="shared" si="2"/>
        <v>379.74</v>
      </c>
      <c r="F27">
        <f t="shared" si="3"/>
        <v>2891.49</v>
      </c>
    </row>
    <row r="28" spans="1:6" x14ac:dyDescent="0.25">
      <c r="A28" t="s">
        <v>357</v>
      </c>
      <c r="B28" t="s">
        <v>358</v>
      </c>
      <c r="C28">
        <f t="shared" si="0"/>
        <v>13.55</v>
      </c>
      <c r="D28">
        <f t="shared" si="1"/>
        <v>113.84</v>
      </c>
      <c r="E28">
        <f t="shared" si="2"/>
        <v>344.19</v>
      </c>
      <c r="F28">
        <f t="shared" si="3"/>
        <v>2891.49</v>
      </c>
    </row>
    <row r="29" spans="1:6" x14ac:dyDescent="0.25">
      <c r="A29" t="s">
        <v>359</v>
      </c>
      <c r="B29" t="s">
        <v>360</v>
      </c>
      <c r="C29">
        <f t="shared" si="0"/>
        <v>10.4</v>
      </c>
      <c r="D29">
        <f t="shared" si="1"/>
        <v>116.76</v>
      </c>
      <c r="E29">
        <f t="shared" si="2"/>
        <v>264.19</v>
      </c>
      <c r="F29">
        <f t="shared" si="3"/>
        <v>2965.81</v>
      </c>
    </row>
    <row r="30" spans="1:6" x14ac:dyDescent="0.25">
      <c r="A30" t="s">
        <v>361</v>
      </c>
      <c r="B30" t="s">
        <v>362</v>
      </c>
      <c r="C30">
        <f t="shared" si="0"/>
        <v>8.6</v>
      </c>
      <c r="D30">
        <f t="shared" si="1"/>
        <v>117.5</v>
      </c>
      <c r="E30">
        <f t="shared" si="2"/>
        <v>218.45</v>
      </c>
      <c r="F30">
        <f t="shared" si="3"/>
        <v>2984.52</v>
      </c>
    </row>
    <row r="31" spans="1:6" x14ac:dyDescent="0.25">
      <c r="A31" t="s">
        <v>363</v>
      </c>
      <c r="B31" t="s">
        <v>364</v>
      </c>
      <c r="C31">
        <f t="shared" si="0"/>
        <v>7.12</v>
      </c>
      <c r="D31">
        <f t="shared" si="1"/>
        <v>121.07</v>
      </c>
      <c r="E31">
        <f t="shared" si="2"/>
        <v>180.97</v>
      </c>
      <c r="F31">
        <f t="shared" si="3"/>
        <v>3075.1</v>
      </c>
    </row>
    <row r="32" spans="1:6" x14ac:dyDescent="0.25">
      <c r="A32" t="s">
        <v>365</v>
      </c>
      <c r="B32" t="s">
        <v>366</v>
      </c>
      <c r="C32">
        <f t="shared" si="0"/>
        <v>3.01</v>
      </c>
      <c r="D32">
        <f t="shared" si="1"/>
        <v>120.7</v>
      </c>
      <c r="E32">
        <f t="shared" si="2"/>
        <v>76.52</v>
      </c>
      <c r="F32">
        <f t="shared" si="3"/>
        <v>3065.87</v>
      </c>
    </row>
    <row r="33" spans="1:6" x14ac:dyDescent="0.25">
      <c r="A33" t="s">
        <v>367</v>
      </c>
      <c r="B33" t="s">
        <v>368</v>
      </c>
      <c r="C33">
        <f t="shared" si="0"/>
        <v>9.23</v>
      </c>
      <c r="D33">
        <f t="shared" si="1"/>
        <v>102.39</v>
      </c>
      <c r="E33">
        <f t="shared" si="2"/>
        <v>234.32</v>
      </c>
      <c r="F33">
        <f t="shared" si="3"/>
        <v>2600.7800000000002</v>
      </c>
    </row>
    <row r="34" spans="1:6" x14ac:dyDescent="0.25">
      <c r="A34" t="s">
        <v>369</v>
      </c>
      <c r="B34" t="s">
        <v>370</v>
      </c>
      <c r="C34">
        <f t="shared" si="0"/>
        <v>12.93</v>
      </c>
      <c r="D34">
        <f t="shared" si="1"/>
        <v>102.26</v>
      </c>
      <c r="E34">
        <f t="shared" si="2"/>
        <v>328.52</v>
      </c>
      <c r="F34">
        <f t="shared" si="3"/>
        <v>2597.29</v>
      </c>
    </row>
    <row r="35" spans="1:6" x14ac:dyDescent="0.25">
      <c r="A35" t="s">
        <v>305</v>
      </c>
      <c r="B35" t="s">
        <v>371</v>
      </c>
      <c r="C35">
        <f t="shared" si="0"/>
        <v>14.42</v>
      </c>
      <c r="D35">
        <f t="shared" si="1"/>
        <v>104.84</v>
      </c>
      <c r="E35">
        <f t="shared" si="2"/>
        <v>366.39</v>
      </c>
      <c r="F35">
        <f t="shared" si="3"/>
        <v>2663.03</v>
      </c>
    </row>
    <row r="36" spans="1:6" x14ac:dyDescent="0.25">
      <c r="A36" t="s">
        <v>372</v>
      </c>
      <c r="B36" t="s">
        <v>373</v>
      </c>
      <c r="C36">
        <f t="shared" si="0"/>
        <v>14.31</v>
      </c>
      <c r="D36">
        <f t="shared" si="1"/>
        <v>107.16</v>
      </c>
      <c r="E36">
        <f t="shared" si="2"/>
        <v>363.42</v>
      </c>
      <c r="F36">
        <f t="shared" si="3"/>
        <v>2721.74</v>
      </c>
    </row>
    <row r="37" spans="1:6" x14ac:dyDescent="0.25">
      <c r="A37" t="s">
        <v>374</v>
      </c>
      <c r="B37" t="s">
        <v>375</v>
      </c>
      <c r="C37">
        <f t="shared" si="0"/>
        <v>13.89</v>
      </c>
      <c r="D37">
        <f t="shared" si="1"/>
        <v>108.83</v>
      </c>
      <c r="E37">
        <f t="shared" si="2"/>
        <v>352.77</v>
      </c>
      <c r="F37">
        <f t="shared" si="3"/>
        <v>2764.26</v>
      </c>
    </row>
    <row r="38" spans="1:6" x14ac:dyDescent="0.25">
      <c r="A38" t="s">
        <v>306</v>
      </c>
      <c r="B38" t="s">
        <v>376</v>
      </c>
      <c r="C38">
        <f t="shared" si="0"/>
        <v>14.14</v>
      </c>
      <c r="D38">
        <f t="shared" si="1"/>
        <v>110.81</v>
      </c>
      <c r="E38">
        <f t="shared" si="2"/>
        <v>359.16</v>
      </c>
      <c r="F38">
        <f t="shared" si="3"/>
        <v>2814.45</v>
      </c>
    </row>
    <row r="39" spans="1:6" x14ac:dyDescent="0.25">
      <c r="A39" t="s">
        <v>377</v>
      </c>
      <c r="B39" t="s">
        <v>378</v>
      </c>
      <c r="C39">
        <f t="shared" si="0"/>
        <v>16.690000000000001</v>
      </c>
      <c r="D39">
        <f t="shared" si="1"/>
        <v>100.83</v>
      </c>
      <c r="E39">
        <f t="shared" si="2"/>
        <v>423.87</v>
      </c>
      <c r="F39">
        <f t="shared" si="3"/>
        <v>2561.1</v>
      </c>
    </row>
    <row r="40" spans="1:6" x14ac:dyDescent="0.25">
      <c r="A40" t="s">
        <v>379</v>
      </c>
      <c r="B40" t="s">
        <v>380</v>
      </c>
      <c r="C40">
        <f t="shared" si="0"/>
        <v>20.260000000000002</v>
      </c>
      <c r="D40">
        <f t="shared" si="1"/>
        <v>100.38</v>
      </c>
      <c r="E40">
        <f t="shared" si="2"/>
        <v>514.71</v>
      </c>
      <c r="F40">
        <f t="shared" si="3"/>
        <v>2549.62</v>
      </c>
    </row>
    <row r="41" spans="1:6" x14ac:dyDescent="0.25">
      <c r="C41" t="str">
        <f t="shared" si="0"/>
        <v/>
      </c>
      <c r="D41" t="str">
        <f t="shared" si="1"/>
        <v/>
      </c>
      <c r="E41" t="str">
        <f t="shared" si="2"/>
        <v/>
      </c>
      <c r="F41" t="str">
        <f t="shared" si="3"/>
        <v/>
      </c>
    </row>
    <row r="42" spans="1:6" x14ac:dyDescent="0.25">
      <c r="C42" t="str">
        <f t="shared" si="0"/>
        <v/>
      </c>
      <c r="D42" t="str">
        <f t="shared" si="1"/>
        <v/>
      </c>
      <c r="E42" t="str">
        <f t="shared" si="2"/>
        <v/>
      </c>
      <c r="F42" t="str">
        <f t="shared" si="3"/>
        <v/>
      </c>
    </row>
    <row r="43" spans="1:6" x14ac:dyDescent="0.25">
      <c r="C43" t="str">
        <f t="shared" si="0"/>
        <v/>
      </c>
      <c r="D43" t="str">
        <f t="shared" si="1"/>
        <v/>
      </c>
      <c r="E43" t="str">
        <f t="shared" si="2"/>
        <v/>
      </c>
      <c r="F43" t="str">
        <f t="shared" si="3"/>
        <v/>
      </c>
    </row>
    <row r="44" spans="1:6" x14ac:dyDescent="0.25">
      <c r="C44" t="str">
        <f t="shared" si="0"/>
        <v/>
      </c>
      <c r="D44" t="str">
        <f t="shared" si="1"/>
        <v/>
      </c>
      <c r="E44" t="str">
        <f t="shared" si="2"/>
        <v/>
      </c>
      <c r="F44" t="str">
        <f t="shared" si="3"/>
        <v/>
      </c>
    </row>
    <row r="45" spans="1:6" x14ac:dyDescent="0.25">
      <c r="C45" t="str">
        <f t="shared" si="0"/>
        <v/>
      </c>
      <c r="D45" t="str">
        <f t="shared" si="1"/>
        <v/>
      </c>
      <c r="E45" t="str">
        <f t="shared" si="2"/>
        <v/>
      </c>
      <c r="F45" t="str">
        <f t="shared" si="3"/>
        <v/>
      </c>
    </row>
    <row r="46" spans="1:6" x14ac:dyDescent="0.25">
      <c r="C46" t="str">
        <f t="shared" si="0"/>
        <v/>
      </c>
      <c r="D46" t="str">
        <f t="shared" si="1"/>
        <v/>
      </c>
      <c r="E46" t="str">
        <f t="shared" si="2"/>
        <v/>
      </c>
      <c r="F46" t="str">
        <f t="shared" si="3"/>
        <v/>
      </c>
    </row>
    <row r="47" spans="1:6" x14ac:dyDescent="0.25">
      <c r="C47" t="str">
        <f t="shared" si="0"/>
        <v/>
      </c>
      <c r="D47" t="str">
        <f t="shared" si="1"/>
        <v/>
      </c>
      <c r="E47" t="str">
        <f t="shared" si="2"/>
        <v/>
      </c>
      <c r="F47" t="str">
        <f t="shared" si="3"/>
        <v/>
      </c>
    </row>
    <row r="48" spans="1:6" x14ac:dyDescent="0.25">
      <c r="C48" t="str">
        <f t="shared" si="0"/>
        <v/>
      </c>
      <c r="D48" t="str">
        <f t="shared" si="1"/>
        <v/>
      </c>
      <c r="E48" t="str">
        <f t="shared" si="2"/>
        <v/>
      </c>
      <c r="F48" t="str">
        <f t="shared" si="3"/>
        <v/>
      </c>
    </row>
    <row r="49" spans="3:6" x14ac:dyDescent="0.25">
      <c r="C49" t="str">
        <f t="shared" si="0"/>
        <v/>
      </c>
      <c r="D49" t="str">
        <f t="shared" si="1"/>
        <v/>
      </c>
      <c r="E49" t="str">
        <f t="shared" si="2"/>
        <v/>
      </c>
      <c r="F49" t="str">
        <f t="shared" si="3"/>
        <v/>
      </c>
    </row>
    <row r="50" spans="3:6" x14ac:dyDescent="0.25">
      <c r="C50" t="str">
        <f t="shared" si="0"/>
        <v/>
      </c>
      <c r="D50" t="str">
        <f t="shared" si="1"/>
        <v/>
      </c>
      <c r="E50" t="str">
        <f t="shared" si="2"/>
        <v/>
      </c>
      <c r="F50" t="str">
        <f t="shared" si="3"/>
        <v/>
      </c>
    </row>
    <row r="51" spans="3:6" x14ac:dyDescent="0.25">
      <c r="C51" t="str">
        <f t="shared" si="0"/>
        <v/>
      </c>
      <c r="D51" t="str">
        <f t="shared" si="1"/>
        <v/>
      </c>
      <c r="E51" t="str">
        <f t="shared" si="2"/>
        <v/>
      </c>
      <c r="F51" t="str">
        <f t="shared" si="3"/>
        <v/>
      </c>
    </row>
    <row r="52" spans="3:6" x14ac:dyDescent="0.25">
      <c r="C52" t="str">
        <f t="shared" si="0"/>
        <v/>
      </c>
      <c r="D52" t="str">
        <f t="shared" si="1"/>
        <v/>
      </c>
      <c r="E52" t="str">
        <f t="shared" si="2"/>
        <v/>
      </c>
      <c r="F52" t="str">
        <f t="shared" si="3"/>
        <v/>
      </c>
    </row>
    <row r="53" spans="3:6" x14ac:dyDescent="0.25">
      <c r="C53" t="str">
        <f t="shared" si="0"/>
        <v/>
      </c>
      <c r="D53" t="str">
        <f t="shared" si="1"/>
        <v/>
      </c>
      <c r="E53" t="str">
        <f t="shared" si="2"/>
        <v/>
      </c>
      <c r="F53" t="str">
        <f t="shared" si="3"/>
        <v/>
      </c>
    </row>
    <row r="54" spans="3:6" x14ac:dyDescent="0.25">
      <c r="C54" t="str">
        <f t="shared" si="0"/>
        <v/>
      </c>
      <c r="D54" t="str">
        <f t="shared" si="1"/>
        <v/>
      </c>
      <c r="E54" t="str">
        <f t="shared" si="2"/>
        <v/>
      </c>
      <c r="F54" t="str">
        <f t="shared" si="3"/>
        <v/>
      </c>
    </row>
    <row r="55" spans="3:6" x14ac:dyDescent="0.25">
      <c r="C55" t="str">
        <f t="shared" si="0"/>
        <v/>
      </c>
      <c r="D55" t="str">
        <f t="shared" si="1"/>
        <v/>
      </c>
      <c r="E55" t="str">
        <f t="shared" si="2"/>
        <v/>
      </c>
      <c r="F55" t="str">
        <f t="shared" si="3"/>
        <v/>
      </c>
    </row>
    <row r="56" spans="3:6" x14ac:dyDescent="0.25">
      <c r="C56" t="str">
        <f t="shared" si="0"/>
        <v/>
      </c>
      <c r="D56" t="str">
        <f t="shared" si="1"/>
        <v/>
      </c>
      <c r="E56" t="str">
        <f t="shared" si="2"/>
        <v/>
      </c>
      <c r="F56" t="str">
        <f t="shared" si="3"/>
        <v/>
      </c>
    </row>
    <row r="57" spans="3:6" x14ac:dyDescent="0.25">
      <c r="C57" t="str">
        <f t="shared" si="0"/>
        <v/>
      </c>
      <c r="D57" t="str">
        <f t="shared" si="1"/>
        <v/>
      </c>
      <c r="E57" t="str">
        <f t="shared" si="2"/>
        <v/>
      </c>
      <c r="F57" t="str">
        <f t="shared" si="3"/>
        <v/>
      </c>
    </row>
    <row r="58" spans="3:6" x14ac:dyDescent="0.25">
      <c r="C58" t="str">
        <f t="shared" si="0"/>
        <v/>
      </c>
      <c r="D58" t="str">
        <f t="shared" si="1"/>
        <v/>
      </c>
      <c r="E58" t="str">
        <f t="shared" si="2"/>
        <v/>
      </c>
      <c r="F58" t="str">
        <f t="shared" si="3"/>
        <v/>
      </c>
    </row>
    <row r="59" spans="3:6" x14ac:dyDescent="0.25">
      <c r="C59" t="str">
        <f t="shared" si="0"/>
        <v/>
      </c>
      <c r="D59" t="str">
        <f t="shared" si="1"/>
        <v/>
      </c>
      <c r="E59" t="str">
        <f t="shared" si="2"/>
        <v/>
      </c>
      <c r="F59" t="str">
        <f t="shared" si="3"/>
        <v/>
      </c>
    </row>
    <row r="60" spans="3:6" x14ac:dyDescent="0.25">
      <c r="C60" t="str">
        <f t="shared" si="0"/>
        <v/>
      </c>
      <c r="D60" t="str">
        <f t="shared" si="1"/>
        <v/>
      </c>
      <c r="E60" t="str">
        <f t="shared" si="2"/>
        <v/>
      </c>
      <c r="F60" t="str">
        <f t="shared" si="3"/>
        <v/>
      </c>
    </row>
    <row r="61" spans="3:6" x14ac:dyDescent="0.25">
      <c r="C61" t="str">
        <f t="shared" si="0"/>
        <v/>
      </c>
      <c r="D61" t="str">
        <f t="shared" si="1"/>
        <v/>
      </c>
      <c r="E61" t="str">
        <f t="shared" si="2"/>
        <v/>
      </c>
      <c r="F61" t="str">
        <f t="shared" si="3"/>
        <v/>
      </c>
    </row>
    <row r="62" spans="3:6" x14ac:dyDescent="0.25">
      <c r="C62" t="str">
        <f t="shared" si="0"/>
        <v/>
      </c>
      <c r="D62" t="str">
        <f t="shared" si="1"/>
        <v/>
      </c>
      <c r="E62" t="str">
        <f t="shared" si="2"/>
        <v/>
      </c>
      <c r="F62" t="str">
        <f t="shared" si="3"/>
        <v/>
      </c>
    </row>
    <row r="63" spans="3:6" x14ac:dyDescent="0.25">
      <c r="C63" t="str">
        <f t="shared" si="0"/>
        <v/>
      </c>
      <c r="D63" t="str">
        <f t="shared" si="1"/>
        <v/>
      </c>
      <c r="E63" t="str">
        <f t="shared" si="2"/>
        <v/>
      </c>
      <c r="F63" t="str">
        <f t="shared" si="3"/>
        <v/>
      </c>
    </row>
    <row r="64" spans="3:6" x14ac:dyDescent="0.25">
      <c r="C64" t="str">
        <f t="shared" si="0"/>
        <v/>
      </c>
      <c r="D64" t="str">
        <f t="shared" si="1"/>
        <v/>
      </c>
      <c r="E64" t="str">
        <f t="shared" si="2"/>
        <v/>
      </c>
      <c r="F64" t="str">
        <f t="shared" si="3"/>
        <v/>
      </c>
    </row>
    <row r="65" spans="3:6" x14ac:dyDescent="0.25">
      <c r="C65" t="str">
        <f t="shared" si="0"/>
        <v/>
      </c>
      <c r="D65" t="str">
        <f t="shared" si="1"/>
        <v/>
      </c>
      <c r="E65" t="str">
        <f t="shared" si="2"/>
        <v/>
      </c>
      <c r="F65" t="str">
        <f t="shared" si="3"/>
        <v/>
      </c>
    </row>
    <row r="66" spans="3:6" x14ac:dyDescent="0.25">
      <c r="C66" t="str">
        <f t="shared" si="0"/>
        <v/>
      </c>
      <c r="D66" t="str">
        <f t="shared" si="1"/>
        <v/>
      </c>
      <c r="E66" t="str">
        <f t="shared" si="2"/>
        <v/>
      </c>
      <c r="F66" t="str">
        <f t="shared" si="3"/>
        <v/>
      </c>
    </row>
    <row r="67" spans="3:6" x14ac:dyDescent="0.25">
      <c r="C67" t="str">
        <f t="shared" si="0"/>
        <v/>
      </c>
      <c r="D67" t="str">
        <f t="shared" si="1"/>
        <v/>
      </c>
      <c r="E67" t="str">
        <f t="shared" si="2"/>
        <v/>
      </c>
      <c r="F67" t="str">
        <f t="shared" si="3"/>
        <v/>
      </c>
    </row>
    <row r="68" spans="3:6" x14ac:dyDescent="0.25">
      <c r="C68" t="str">
        <f t="shared" ref="C68:C131" si="4">IF(A68&lt;&gt;"",ROUND(_xlfn.NUMBERVALUE(LEFT($B68,FIND(":",$B68)-1)),2),"")</f>
        <v/>
      </c>
      <c r="D68" t="str">
        <f t="shared" ref="D68:D131" si="5">IF(A68&lt;&gt;"",ROUND(_xlfn.NUMBERVALUE(MID($B68,FIND(":",$B68)+1,LEN($B68))),2),"")</f>
        <v/>
      </c>
      <c r="E68" t="str">
        <f t="shared" ref="E68:E131" si="6">IF(A68&lt;&gt;"",ROUND(_xlfn.NUMBERVALUE(LEFT($B68,FIND(":",$B68)-1))*25.4,2),"")</f>
        <v/>
      </c>
      <c r="F68" t="str">
        <f t="shared" ref="F68:F131" si="7">IF(A68&lt;&gt;"",ROUND(_xlfn.NUMBERVALUE(MID($B68,FIND(":",$B68)+1,LEN($B68)))*25.4,2),"")</f>
        <v/>
      </c>
    </row>
    <row r="69" spans="3:6" x14ac:dyDescent="0.25">
      <c r="C69" t="str">
        <f t="shared" si="4"/>
        <v/>
      </c>
      <c r="D69" t="str">
        <f t="shared" si="5"/>
        <v/>
      </c>
      <c r="E69" t="str">
        <f t="shared" si="6"/>
        <v/>
      </c>
      <c r="F69" t="str">
        <f t="shared" si="7"/>
        <v/>
      </c>
    </row>
    <row r="70" spans="3:6" x14ac:dyDescent="0.25">
      <c r="C70" t="str">
        <f t="shared" si="4"/>
        <v/>
      </c>
      <c r="D70" t="str">
        <f t="shared" si="5"/>
        <v/>
      </c>
      <c r="E70" t="str">
        <f t="shared" si="6"/>
        <v/>
      </c>
      <c r="F70" t="str">
        <f t="shared" si="7"/>
        <v/>
      </c>
    </row>
    <row r="71" spans="3:6" x14ac:dyDescent="0.25">
      <c r="C71" t="str">
        <f t="shared" si="4"/>
        <v/>
      </c>
      <c r="D71" t="str">
        <f t="shared" si="5"/>
        <v/>
      </c>
      <c r="E71" t="str">
        <f t="shared" si="6"/>
        <v/>
      </c>
      <c r="F71" t="str">
        <f t="shared" si="7"/>
        <v/>
      </c>
    </row>
    <row r="72" spans="3:6" x14ac:dyDescent="0.25">
      <c r="C72" t="str">
        <f t="shared" si="4"/>
        <v/>
      </c>
      <c r="D72" t="str">
        <f t="shared" si="5"/>
        <v/>
      </c>
      <c r="E72" t="str">
        <f t="shared" si="6"/>
        <v/>
      </c>
      <c r="F72" t="str">
        <f t="shared" si="7"/>
        <v/>
      </c>
    </row>
    <row r="73" spans="3:6" x14ac:dyDescent="0.25">
      <c r="C73" t="str">
        <f t="shared" si="4"/>
        <v/>
      </c>
      <c r="D73" t="str">
        <f t="shared" si="5"/>
        <v/>
      </c>
      <c r="E73" t="str">
        <f t="shared" si="6"/>
        <v/>
      </c>
      <c r="F73" t="str">
        <f t="shared" si="7"/>
        <v/>
      </c>
    </row>
    <row r="74" spans="3:6" x14ac:dyDescent="0.25">
      <c r="C74" t="str">
        <f t="shared" si="4"/>
        <v/>
      </c>
      <c r="D74" t="str">
        <f t="shared" si="5"/>
        <v/>
      </c>
      <c r="E74" t="str">
        <f t="shared" si="6"/>
        <v/>
      </c>
      <c r="F74" t="str">
        <f t="shared" si="7"/>
        <v/>
      </c>
    </row>
    <row r="75" spans="3:6" x14ac:dyDescent="0.25">
      <c r="C75" t="str">
        <f t="shared" si="4"/>
        <v/>
      </c>
      <c r="D75" t="str">
        <f t="shared" si="5"/>
        <v/>
      </c>
      <c r="E75" t="str">
        <f t="shared" si="6"/>
        <v/>
      </c>
      <c r="F75" t="str">
        <f t="shared" si="7"/>
        <v/>
      </c>
    </row>
    <row r="76" spans="3:6" x14ac:dyDescent="0.25">
      <c r="C76" t="str">
        <f t="shared" si="4"/>
        <v/>
      </c>
      <c r="D76" t="str">
        <f t="shared" si="5"/>
        <v/>
      </c>
      <c r="E76" t="str">
        <f t="shared" si="6"/>
        <v/>
      </c>
      <c r="F76" t="str">
        <f t="shared" si="7"/>
        <v/>
      </c>
    </row>
    <row r="77" spans="3:6" x14ac:dyDescent="0.25">
      <c r="C77" t="str">
        <f t="shared" si="4"/>
        <v/>
      </c>
      <c r="D77" t="str">
        <f t="shared" si="5"/>
        <v/>
      </c>
      <c r="E77" t="str">
        <f t="shared" si="6"/>
        <v/>
      </c>
      <c r="F77" t="str">
        <f t="shared" si="7"/>
        <v/>
      </c>
    </row>
    <row r="78" spans="3:6" x14ac:dyDescent="0.25">
      <c r="C78" t="str">
        <f t="shared" si="4"/>
        <v/>
      </c>
      <c r="D78" t="str">
        <f t="shared" si="5"/>
        <v/>
      </c>
      <c r="E78" t="str">
        <f t="shared" si="6"/>
        <v/>
      </c>
      <c r="F78" t="str">
        <f t="shared" si="7"/>
        <v/>
      </c>
    </row>
    <row r="79" spans="3:6" x14ac:dyDescent="0.25">
      <c r="C79" t="str">
        <f t="shared" si="4"/>
        <v/>
      </c>
      <c r="D79" t="str">
        <f t="shared" si="5"/>
        <v/>
      </c>
      <c r="E79" t="str">
        <f t="shared" si="6"/>
        <v/>
      </c>
      <c r="F79" t="str">
        <f t="shared" si="7"/>
        <v/>
      </c>
    </row>
    <row r="80" spans="3:6" x14ac:dyDescent="0.25">
      <c r="C80" t="str">
        <f t="shared" si="4"/>
        <v/>
      </c>
      <c r="D80" t="str">
        <f t="shared" si="5"/>
        <v/>
      </c>
      <c r="E80" t="str">
        <f t="shared" si="6"/>
        <v/>
      </c>
      <c r="F80" t="str">
        <f t="shared" si="7"/>
        <v/>
      </c>
    </row>
    <row r="81" spans="3:6" x14ac:dyDescent="0.25">
      <c r="C81" t="str">
        <f t="shared" si="4"/>
        <v/>
      </c>
      <c r="D81" t="str">
        <f t="shared" si="5"/>
        <v/>
      </c>
      <c r="E81" t="str">
        <f t="shared" si="6"/>
        <v/>
      </c>
      <c r="F81" t="str">
        <f t="shared" si="7"/>
        <v/>
      </c>
    </row>
    <row r="82" spans="3:6" x14ac:dyDescent="0.25">
      <c r="C82" t="str">
        <f t="shared" si="4"/>
        <v/>
      </c>
      <c r="D82" t="str">
        <f t="shared" si="5"/>
        <v/>
      </c>
      <c r="E82" t="str">
        <f t="shared" si="6"/>
        <v/>
      </c>
      <c r="F82" t="str">
        <f t="shared" si="7"/>
        <v/>
      </c>
    </row>
    <row r="83" spans="3:6" x14ac:dyDescent="0.25">
      <c r="C83" t="str">
        <f t="shared" si="4"/>
        <v/>
      </c>
      <c r="D83" t="str">
        <f t="shared" si="5"/>
        <v/>
      </c>
      <c r="E83" t="str">
        <f t="shared" si="6"/>
        <v/>
      </c>
      <c r="F83" t="str">
        <f t="shared" si="7"/>
        <v/>
      </c>
    </row>
    <row r="84" spans="3:6" x14ac:dyDescent="0.25">
      <c r="C84" t="str">
        <f t="shared" si="4"/>
        <v/>
      </c>
      <c r="D84" t="str">
        <f t="shared" si="5"/>
        <v/>
      </c>
      <c r="E84" t="str">
        <f t="shared" si="6"/>
        <v/>
      </c>
      <c r="F84" t="str">
        <f t="shared" si="7"/>
        <v/>
      </c>
    </row>
    <row r="85" spans="3:6" x14ac:dyDescent="0.25">
      <c r="C85" t="str">
        <f t="shared" si="4"/>
        <v/>
      </c>
      <c r="D85" t="str">
        <f t="shared" si="5"/>
        <v/>
      </c>
      <c r="E85" t="str">
        <f t="shared" si="6"/>
        <v/>
      </c>
      <c r="F85" t="str">
        <f t="shared" si="7"/>
        <v/>
      </c>
    </row>
    <row r="86" spans="3:6" x14ac:dyDescent="0.25">
      <c r="C86" t="str">
        <f t="shared" si="4"/>
        <v/>
      </c>
      <c r="D86" t="str">
        <f t="shared" si="5"/>
        <v/>
      </c>
      <c r="E86" t="str">
        <f t="shared" si="6"/>
        <v/>
      </c>
      <c r="F86" t="str">
        <f t="shared" si="7"/>
        <v/>
      </c>
    </row>
    <row r="87" spans="3:6" x14ac:dyDescent="0.25">
      <c r="C87" t="str">
        <f t="shared" si="4"/>
        <v/>
      </c>
      <c r="D87" t="str">
        <f t="shared" si="5"/>
        <v/>
      </c>
      <c r="E87" t="str">
        <f t="shared" si="6"/>
        <v/>
      </c>
      <c r="F87" t="str">
        <f t="shared" si="7"/>
        <v/>
      </c>
    </row>
    <row r="88" spans="3:6" x14ac:dyDescent="0.25">
      <c r="C88" t="str">
        <f t="shared" si="4"/>
        <v/>
      </c>
      <c r="D88" t="str">
        <f t="shared" si="5"/>
        <v/>
      </c>
      <c r="E88" t="str">
        <f t="shared" si="6"/>
        <v/>
      </c>
      <c r="F88" t="str">
        <f t="shared" si="7"/>
        <v/>
      </c>
    </row>
    <row r="89" spans="3:6" x14ac:dyDescent="0.25">
      <c r="C89" t="str">
        <f t="shared" si="4"/>
        <v/>
      </c>
      <c r="D89" t="str">
        <f t="shared" si="5"/>
        <v/>
      </c>
      <c r="E89" t="str">
        <f t="shared" si="6"/>
        <v/>
      </c>
      <c r="F89" t="str">
        <f t="shared" si="7"/>
        <v/>
      </c>
    </row>
    <row r="90" spans="3:6" x14ac:dyDescent="0.25">
      <c r="C90" t="str">
        <f t="shared" si="4"/>
        <v/>
      </c>
      <c r="D90" t="str">
        <f t="shared" si="5"/>
        <v/>
      </c>
      <c r="E90" t="str">
        <f t="shared" si="6"/>
        <v/>
      </c>
      <c r="F90" t="str">
        <f t="shared" si="7"/>
        <v/>
      </c>
    </row>
    <row r="91" spans="3:6" x14ac:dyDescent="0.25">
      <c r="C91" t="str">
        <f t="shared" si="4"/>
        <v/>
      </c>
      <c r="D91" t="str">
        <f t="shared" si="5"/>
        <v/>
      </c>
      <c r="E91" t="str">
        <f t="shared" si="6"/>
        <v/>
      </c>
      <c r="F91" t="str">
        <f t="shared" si="7"/>
        <v/>
      </c>
    </row>
    <row r="92" spans="3:6" x14ac:dyDescent="0.25">
      <c r="C92" t="str">
        <f t="shared" si="4"/>
        <v/>
      </c>
      <c r="D92" t="str">
        <f t="shared" si="5"/>
        <v/>
      </c>
      <c r="E92" t="str">
        <f t="shared" si="6"/>
        <v/>
      </c>
      <c r="F92" t="str">
        <f t="shared" si="7"/>
        <v/>
      </c>
    </row>
    <row r="93" spans="3:6" x14ac:dyDescent="0.25">
      <c r="C93" t="str">
        <f t="shared" si="4"/>
        <v/>
      </c>
      <c r="D93" t="str">
        <f t="shared" si="5"/>
        <v/>
      </c>
      <c r="E93" t="str">
        <f t="shared" si="6"/>
        <v/>
      </c>
      <c r="F93" t="str">
        <f t="shared" si="7"/>
        <v/>
      </c>
    </row>
    <row r="94" spans="3:6" x14ac:dyDescent="0.25">
      <c r="C94" t="str">
        <f t="shared" si="4"/>
        <v/>
      </c>
      <c r="D94" t="str">
        <f t="shared" si="5"/>
        <v/>
      </c>
      <c r="E94" t="str">
        <f t="shared" si="6"/>
        <v/>
      </c>
      <c r="F94" t="str">
        <f t="shared" si="7"/>
        <v/>
      </c>
    </row>
    <row r="95" spans="3:6" x14ac:dyDescent="0.25">
      <c r="C95" t="str">
        <f t="shared" si="4"/>
        <v/>
      </c>
      <c r="D95" t="str">
        <f t="shared" si="5"/>
        <v/>
      </c>
      <c r="E95" t="str">
        <f t="shared" si="6"/>
        <v/>
      </c>
      <c r="F95" t="str">
        <f t="shared" si="7"/>
        <v/>
      </c>
    </row>
    <row r="96" spans="3:6" x14ac:dyDescent="0.25">
      <c r="C96" t="str">
        <f t="shared" si="4"/>
        <v/>
      </c>
      <c r="D96" t="str">
        <f t="shared" si="5"/>
        <v/>
      </c>
      <c r="E96" t="str">
        <f t="shared" si="6"/>
        <v/>
      </c>
      <c r="F96" t="str">
        <f t="shared" si="7"/>
        <v/>
      </c>
    </row>
    <row r="97" spans="3:6" x14ac:dyDescent="0.25">
      <c r="C97" t="str">
        <f t="shared" si="4"/>
        <v/>
      </c>
      <c r="D97" t="str">
        <f t="shared" si="5"/>
        <v/>
      </c>
      <c r="E97" t="str">
        <f t="shared" si="6"/>
        <v/>
      </c>
      <c r="F97" t="str">
        <f t="shared" si="7"/>
        <v/>
      </c>
    </row>
    <row r="98" spans="3:6" x14ac:dyDescent="0.25">
      <c r="C98" t="str">
        <f t="shared" si="4"/>
        <v/>
      </c>
      <c r="D98" t="str">
        <f t="shared" si="5"/>
        <v/>
      </c>
      <c r="E98" t="str">
        <f t="shared" si="6"/>
        <v/>
      </c>
      <c r="F98" t="str">
        <f t="shared" si="7"/>
        <v/>
      </c>
    </row>
    <row r="99" spans="3:6" x14ac:dyDescent="0.25">
      <c r="C99" t="str">
        <f t="shared" si="4"/>
        <v/>
      </c>
      <c r="D99" t="str">
        <f t="shared" si="5"/>
        <v/>
      </c>
      <c r="E99" t="str">
        <f t="shared" si="6"/>
        <v/>
      </c>
      <c r="F99" t="str">
        <f t="shared" si="7"/>
        <v/>
      </c>
    </row>
    <row r="100" spans="3:6" x14ac:dyDescent="0.25">
      <c r="C100" t="str">
        <f t="shared" si="4"/>
        <v/>
      </c>
      <c r="D100" t="str">
        <f t="shared" si="5"/>
        <v/>
      </c>
      <c r="E100" t="str">
        <f t="shared" si="6"/>
        <v/>
      </c>
      <c r="F100" t="str">
        <f t="shared" si="7"/>
        <v/>
      </c>
    </row>
    <row r="101" spans="3:6" x14ac:dyDescent="0.25">
      <c r="C101" t="str">
        <f t="shared" si="4"/>
        <v/>
      </c>
      <c r="D101" t="str">
        <f t="shared" si="5"/>
        <v/>
      </c>
      <c r="E101" t="str">
        <f t="shared" si="6"/>
        <v/>
      </c>
      <c r="F101" t="str">
        <f t="shared" si="7"/>
        <v/>
      </c>
    </row>
    <row r="102" spans="3:6" x14ac:dyDescent="0.25">
      <c r="C102" t="str">
        <f t="shared" si="4"/>
        <v/>
      </c>
      <c r="D102" t="str">
        <f t="shared" si="5"/>
        <v/>
      </c>
      <c r="E102" t="str">
        <f t="shared" si="6"/>
        <v/>
      </c>
      <c r="F102" t="str">
        <f t="shared" si="7"/>
        <v/>
      </c>
    </row>
    <row r="103" spans="3:6" x14ac:dyDescent="0.25">
      <c r="C103" t="str">
        <f t="shared" si="4"/>
        <v/>
      </c>
      <c r="D103" t="str">
        <f t="shared" si="5"/>
        <v/>
      </c>
      <c r="E103" t="str">
        <f t="shared" si="6"/>
        <v/>
      </c>
      <c r="F103" t="str">
        <f t="shared" si="7"/>
        <v/>
      </c>
    </row>
    <row r="104" spans="3:6" x14ac:dyDescent="0.25">
      <c r="C104" t="str">
        <f t="shared" si="4"/>
        <v/>
      </c>
      <c r="D104" t="str">
        <f t="shared" si="5"/>
        <v/>
      </c>
      <c r="E104" t="str">
        <f t="shared" si="6"/>
        <v/>
      </c>
      <c r="F104" t="str">
        <f t="shared" si="7"/>
        <v/>
      </c>
    </row>
    <row r="105" spans="3:6" x14ac:dyDescent="0.25">
      <c r="C105" t="str">
        <f t="shared" si="4"/>
        <v/>
      </c>
      <c r="D105" t="str">
        <f t="shared" si="5"/>
        <v/>
      </c>
      <c r="E105" t="str">
        <f t="shared" si="6"/>
        <v/>
      </c>
      <c r="F105" t="str">
        <f t="shared" si="7"/>
        <v/>
      </c>
    </row>
    <row r="106" spans="3:6" x14ac:dyDescent="0.25">
      <c r="C106" t="str">
        <f t="shared" si="4"/>
        <v/>
      </c>
      <c r="D106" t="str">
        <f t="shared" si="5"/>
        <v/>
      </c>
      <c r="E106" t="str">
        <f t="shared" si="6"/>
        <v/>
      </c>
      <c r="F106" t="str">
        <f t="shared" si="7"/>
        <v/>
      </c>
    </row>
    <row r="107" spans="3:6" x14ac:dyDescent="0.25">
      <c r="C107" t="str">
        <f t="shared" si="4"/>
        <v/>
      </c>
      <c r="D107" t="str">
        <f t="shared" si="5"/>
        <v/>
      </c>
      <c r="E107" t="str">
        <f t="shared" si="6"/>
        <v/>
      </c>
      <c r="F107" t="str">
        <f t="shared" si="7"/>
        <v/>
      </c>
    </row>
    <row r="108" spans="3:6" x14ac:dyDescent="0.25">
      <c r="C108" t="str">
        <f t="shared" si="4"/>
        <v/>
      </c>
      <c r="D108" t="str">
        <f t="shared" si="5"/>
        <v/>
      </c>
      <c r="E108" t="str">
        <f t="shared" si="6"/>
        <v/>
      </c>
      <c r="F108" t="str">
        <f t="shared" si="7"/>
        <v/>
      </c>
    </row>
    <row r="109" spans="3:6" x14ac:dyDescent="0.25">
      <c r="C109" t="str">
        <f t="shared" si="4"/>
        <v/>
      </c>
      <c r="D109" t="str">
        <f t="shared" si="5"/>
        <v/>
      </c>
      <c r="E109" t="str">
        <f t="shared" si="6"/>
        <v/>
      </c>
      <c r="F109" t="str">
        <f t="shared" si="7"/>
        <v/>
      </c>
    </row>
    <row r="110" spans="3:6" x14ac:dyDescent="0.25">
      <c r="C110" t="str">
        <f t="shared" si="4"/>
        <v/>
      </c>
      <c r="D110" t="str">
        <f t="shared" si="5"/>
        <v/>
      </c>
      <c r="E110" t="str">
        <f t="shared" si="6"/>
        <v/>
      </c>
      <c r="F110" t="str">
        <f t="shared" si="7"/>
        <v/>
      </c>
    </row>
    <row r="111" spans="3:6" x14ac:dyDescent="0.25">
      <c r="C111" t="str">
        <f t="shared" si="4"/>
        <v/>
      </c>
      <c r="D111" t="str">
        <f t="shared" si="5"/>
        <v/>
      </c>
      <c r="E111" t="str">
        <f t="shared" si="6"/>
        <v/>
      </c>
      <c r="F111" t="str">
        <f t="shared" si="7"/>
        <v/>
      </c>
    </row>
    <row r="112" spans="3:6" x14ac:dyDescent="0.25">
      <c r="C112" t="str">
        <f t="shared" si="4"/>
        <v/>
      </c>
      <c r="D112" t="str">
        <f t="shared" si="5"/>
        <v/>
      </c>
      <c r="E112" t="str">
        <f t="shared" si="6"/>
        <v/>
      </c>
      <c r="F112" t="str">
        <f t="shared" si="7"/>
        <v/>
      </c>
    </row>
    <row r="113" spans="3:6" x14ac:dyDescent="0.25">
      <c r="C113" t="str">
        <f t="shared" si="4"/>
        <v/>
      </c>
      <c r="D113" t="str">
        <f t="shared" si="5"/>
        <v/>
      </c>
      <c r="E113" t="str">
        <f t="shared" si="6"/>
        <v/>
      </c>
      <c r="F113" t="str">
        <f t="shared" si="7"/>
        <v/>
      </c>
    </row>
    <row r="114" spans="3:6" x14ac:dyDescent="0.25">
      <c r="C114" t="str">
        <f t="shared" si="4"/>
        <v/>
      </c>
      <c r="D114" t="str">
        <f t="shared" si="5"/>
        <v/>
      </c>
      <c r="E114" t="str">
        <f t="shared" si="6"/>
        <v/>
      </c>
      <c r="F114" t="str">
        <f t="shared" si="7"/>
        <v/>
      </c>
    </row>
    <row r="115" spans="3:6" x14ac:dyDescent="0.25">
      <c r="C115" t="str">
        <f t="shared" si="4"/>
        <v/>
      </c>
      <c r="D115" t="str">
        <f t="shared" si="5"/>
        <v/>
      </c>
      <c r="E115" t="str">
        <f t="shared" si="6"/>
        <v/>
      </c>
      <c r="F115" t="str">
        <f t="shared" si="7"/>
        <v/>
      </c>
    </row>
    <row r="116" spans="3:6" x14ac:dyDescent="0.25">
      <c r="C116" t="str">
        <f t="shared" si="4"/>
        <v/>
      </c>
      <c r="D116" t="str">
        <f t="shared" si="5"/>
        <v/>
      </c>
      <c r="E116" t="str">
        <f t="shared" si="6"/>
        <v/>
      </c>
      <c r="F116" t="str">
        <f t="shared" si="7"/>
        <v/>
      </c>
    </row>
    <row r="117" spans="3:6" x14ac:dyDescent="0.25">
      <c r="C117" t="str">
        <f t="shared" si="4"/>
        <v/>
      </c>
      <c r="D117" t="str">
        <f t="shared" si="5"/>
        <v/>
      </c>
      <c r="E117" t="str">
        <f t="shared" si="6"/>
        <v/>
      </c>
      <c r="F117" t="str">
        <f t="shared" si="7"/>
        <v/>
      </c>
    </row>
    <row r="118" spans="3:6" x14ac:dyDescent="0.25">
      <c r="C118" t="str">
        <f t="shared" si="4"/>
        <v/>
      </c>
      <c r="D118" t="str">
        <f t="shared" si="5"/>
        <v/>
      </c>
      <c r="E118" t="str">
        <f t="shared" si="6"/>
        <v/>
      </c>
      <c r="F118" t="str">
        <f t="shared" si="7"/>
        <v/>
      </c>
    </row>
    <row r="119" spans="3:6" x14ac:dyDescent="0.25">
      <c r="C119" t="str">
        <f t="shared" si="4"/>
        <v/>
      </c>
      <c r="D119" t="str">
        <f t="shared" si="5"/>
        <v/>
      </c>
      <c r="E119" t="str">
        <f t="shared" si="6"/>
        <v/>
      </c>
      <c r="F119" t="str">
        <f t="shared" si="7"/>
        <v/>
      </c>
    </row>
    <row r="120" spans="3:6" x14ac:dyDescent="0.25">
      <c r="C120" t="str">
        <f t="shared" si="4"/>
        <v/>
      </c>
      <c r="D120" t="str">
        <f t="shared" si="5"/>
        <v/>
      </c>
      <c r="E120" t="str">
        <f t="shared" si="6"/>
        <v/>
      </c>
      <c r="F120" t="str">
        <f t="shared" si="7"/>
        <v/>
      </c>
    </row>
    <row r="121" spans="3:6" x14ac:dyDescent="0.25">
      <c r="C121" t="str">
        <f t="shared" si="4"/>
        <v/>
      </c>
      <c r="D121" t="str">
        <f t="shared" si="5"/>
        <v/>
      </c>
      <c r="E121" t="str">
        <f t="shared" si="6"/>
        <v/>
      </c>
      <c r="F121" t="str">
        <f t="shared" si="7"/>
        <v/>
      </c>
    </row>
    <row r="122" spans="3:6" x14ac:dyDescent="0.25">
      <c r="C122" t="str">
        <f t="shared" si="4"/>
        <v/>
      </c>
      <c r="D122" t="str">
        <f t="shared" si="5"/>
        <v/>
      </c>
      <c r="E122" t="str">
        <f t="shared" si="6"/>
        <v/>
      </c>
      <c r="F122" t="str">
        <f t="shared" si="7"/>
        <v/>
      </c>
    </row>
    <row r="123" spans="3:6" x14ac:dyDescent="0.25">
      <c r="C123" t="str">
        <f t="shared" si="4"/>
        <v/>
      </c>
      <c r="D123" t="str">
        <f t="shared" si="5"/>
        <v/>
      </c>
      <c r="E123" t="str">
        <f t="shared" si="6"/>
        <v/>
      </c>
      <c r="F123" t="str">
        <f t="shared" si="7"/>
        <v/>
      </c>
    </row>
    <row r="124" spans="3:6" x14ac:dyDescent="0.25">
      <c r="C124" t="str">
        <f t="shared" si="4"/>
        <v/>
      </c>
      <c r="D124" t="str">
        <f t="shared" si="5"/>
        <v/>
      </c>
      <c r="E124" t="str">
        <f t="shared" si="6"/>
        <v/>
      </c>
      <c r="F124" t="str">
        <f t="shared" si="7"/>
        <v/>
      </c>
    </row>
    <row r="125" spans="3:6" x14ac:dyDescent="0.25">
      <c r="C125" t="str">
        <f t="shared" si="4"/>
        <v/>
      </c>
      <c r="D125" t="str">
        <f t="shared" si="5"/>
        <v/>
      </c>
      <c r="E125" t="str">
        <f t="shared" si="6"/>
        <v/>
      </c>
      <c r="F125" t="str">
        <f t="shared" si="7"/>
        <v/>
      </c>
    </row>
    <row r="126" spans="3:6" x14ac:dyDescent="0.25">
      <c r="C126" t="str">
        <f t="shared" si="4"/>
        <v/>
      </c>
      <c r="D126" t="str">
        <f t="shared" si="5"/>
        <v/>
      </c>
      <c r="E126" t="str">
        <f t="shared" si="6"/>
        <v/>
      </c>
      <c r="F126" t="str">
        <f t="shared" si="7"/>
        <v/>
      </c>
    </row>
    <row r="127" spans="3:6" x14ac:dyDescent="0.25">
      <c r="C127" t="str">
        <f t="shared" si="4"/>
        <v/>
      </c>
      <c r="D127" t="str">
        <f t="shared" si="5"/>
        <v/>
      </c>
      <c r="E127" t="str">
        <f t="shared" si="6"/>
        <v/>
      </c>
      <c r="F127" t="str">
        <f t="shared" si="7"/>
        <v/>
      </c>
    </row>
    <row r="128" spans="3:6" x14ac:dyDescent="0.25">
      <c r="C128" t="str">
        <f t="shared" si="4"/>
        <v/>
      </c>
      <c r="D128" t="str">
        <f t="shared" si="5"/>
        <v/>
      </c>
      <c r="E128" t="str">
        <f t="shared" si="6"/>
        <v/>
      </c>
      <c r="F128" t="str">
        <f t="shared" si="7"/>
        <v/>
      </c>
    </row>
    <row r="129" spans="3:6" x14ac:dyDescent="0.25">
      <c r="C129" t="str">
        <f t="shared" si="4"/>
        <v/>
      </c>
      <c r="D129" t="str">
        <f t="shared" si="5"/>
        <v/>
      </c>
      <c r="E129" t="str">
        <f t="shared" si="6"/>
        <v/>
      </c>
      <c r="F129" t="str">
        <f t="shared" si="7"/>
        <v/>
      </c>
    </row>
    <row r="130" spans="3:6" x14ac:dyDescent="0.25">
      <c r="C130" t="str">
        <f t="shared" si="4"/>
        <v/>
      </c>
      <c r="D130" t="str">
        <f t="shared" si="5"/>
        <v/>
      </c>
      <c r="E130" t="str">
        <f t="shared" si="6"/>
        <v/>
      </c>
      <c r="F130" t="str">
        <f t="shared" si="7"/>
        <v/>
      </c>
    </row>
    <row r="131" spans="3:6" x14ac:dyDescent="0.25">
      <c r="C131" t="str">
        <f t="shared" si="4"/>
        <v/>
      </c>
      <c r="D131" t="str">
        <f t="shared" si="5"/>
        <v/>
      </c>
      <c r="E131" t="str">
        <f t="shared" si="6"/>
        <v/>
      </c>
      <c r="F131" t="str">
        <f t="shared" si="7"/>
        <v/>
      </c>
    </row>
    <row r="132" spans="3:6" x14ac:dyDescent="0.25">
      <c r="C132" t="str">
        <f t="shared" ref="C132:C195" si="8">IF(A132&lt;&gt;"",ROUND(_xlfn.NUMBERVALUE(LEFT($B132,FIND(":",$B132)-1)),2),"")</f>
        <v/>
      </c>
      <c r="D132" t="str">
        <f t="shared" ref="D132:D195" si="9">IF(A132&lt;&gt;"",ROUND(_xlfn.NUMBERVALUE(MID($B132,FIND(":",$B132)+1,LEN($B132))),2),"")</f>
        <v/>
      </c>
      <c r="E132" t="str">
        <f t="shared" ref="E132:E195" si="10">IF(A132&lt;&gt;"",ROUND(_xlfn.NUMBERVALUE(LEFT($B132,FIND(":",$B132)-1))*25.4,2),"")</f>
        <v/>
      </c>
      <c r="F132" t="str">
        <f t="shared" ref="F132:F195" si="11">IF(A132&lt;&gt;"",ROUND(_xlfn.NUMBERVALUE(MID($B132,FIND(":",$B132)+1,LEN($B132)))*25.4,2),"")</f>
        <v/>
      </c>
    </row>
    <row r="133" spans="3:6" x14ac:dyDescent="0.25">
      <c r="C133" t="str">
        <f t="shared" si="8"/>
        <v/>
      </c>
      <c r="D133" t="str">
        <f t="shared" si="9"/>
        <v/>
      </c>
      <c r="E133" t="str">
        <f t="shared" si="10"/>
        <v/>
      </c>
      <c r="F133" t="str">
        <f t="shared" si="11"/>
        <v/>
      </c>
    </row>
    <row r="134" spans="3:6" x14ac:dyDescent="0.25">
      <c r="C134" t="str">
        <f t="shared" si="8"/>
        <v/>
      </c>
      <c r="D134" t="str">
        <f t="shared" si="9"/>
        <v/>
      </c>
      <c r="E134" t="str">
        <f t="shared" si="10"/>
        <v/>
      </c>
      <c r="F134" t="str">
        <f t="shared" si="11"/>
        <v/>
      </c>
    </row>
    <row r="135" spans="3:6" x14ac:dyDescent="0.25">
      <c r="C135" t="str">
        <f t="shared" si="8"/>
        <v/>
      </c>
      <c r="D135" t="str">
        <f t="shared" si="9"/>
        <v/>
      </c>
      <c r="E135" t="str">
        <f t="shared" si="10"/>
        <v/>
      </c>
      <c r="F135" t="str">
        <f t="shared" si="11"/>
        <v/>
      </c>
    </row>
    <row r="136" spans="3:6" x14ac:dyDescent="0.25">
      <c r="C136" t="str">
        <f t="shared" si="8"/>
        <v/>
      </c>
      <c r="D136" t="str">
        <f t="shared" si="9"/>
        <v/>
      </c>
      <c r="E136" t="str">
        <f t="shared" si="10"/>
        <v/>
      </c>
      <c r="F136" t="str">
        <f t="shared" si="11"/>
        <v/>
      </c>
    </row>
    <row r="137" spans="3:6" x14ac:dyDescent="0.25">
      <c r="C137" t="str">
        <f t="shared" si="8"/>
        <v/>
      </c>
      <c r="D137" t="str">
        <f t="shared" si="9"/>
        <v/>
      </c>
      <c r="E137" t="str">
        <f t="shared" si="10"/>
        <v/>
      </c>
      <c r="F137" t="str">
        <f t="shared" si="11"/>
        <v/>
      </c>
    </row>
    <row r="138" spans="3:6" x14ac:dyDescent="0.25">
      <c r="C138" t="str">
        <f t="shared" si="8"/>
        <v/>
      </c>
      <c r="D138" t="str">
        <f t="shared" si="9"/>
        <v/>
      </c>
      <c r="E138" t="str">
        <f t="shared" si="10"/>
        <v/>
      </c>
      <c r="F138" t="str">
        <f t="shared" si="11"/>
        <v/>
      </c>
    </row>
    <row r="139" spans="3:6" x14ac:dyDescent="0.25">
      <c r="C139" t="str">
        <f t="shared" si="8"/>
        <v/>
      </c>
      <c r="D139" t="str">
        <f t="shared" si="9"/>
        <v/>
      </c>
      <c r="E139" t="str">
        <f t="shared" si="10"/>
        <v/>
      </c>
      <c r="F139" t="str">
        <f t="shared" si="11"/>
        <v/>
      </c>
    </row>
    <row r="140" spans="3:6" x14ac:dyDescent="0.25">
      <c r="C140" t="str">
        <f t="shared" si="8"/>
        <v/>
      </c>
      <c r="D140" t="str">
        <f t="shared" si="9"/>
        <v/>
      </c>
      <c r="E140" t="str">
        <f t="shared" si="10"/>
        <v/>
      </c>
      <c r="F140" t="str">
        <f t="shared" si="11"/>
        <v/>
      </c>
    </row>
    <row r="141" spans="3:6" x14ac:dyDescent="0.25">
      <c r="C141" t="str">
        <f t="shared" si="8"/>
        <v/>
      </c>
      <c r="D141" t="str">
        <f t="shared" si="9"/>
        <v/>
      </c>
      <c r="E141" t="str">
        <f t="shared" si="10"/>
        <v/>
      </c>
      <c r="F141" t="str">
        <f t="shared" si="11"/>
        <v/>
      </c>
    </row>
    <row r="142" spans="3:6" x14ac:dyDescent="0.25">
      <c r="C142" t="str">
        <f t="shared" si="8"/>
        <v/>
      </c>
      <c r="D142" t="str">
        <f t="shared" si="9"/>
        <v/>
      </c>
      <c r="E142" t="str">
        <f t="shared" si="10"/>
        <v/>
      </c>
      <c r="F142" t="str">
        <f t="shared" si="11"/>
        <v/>
      </c>
    </row>
    <row r="143" spans="3:6" x14ac:dyDescent="0.25">
      <c r="C143" t="str">
        <f t="shared" si="8"/>
        <v/>
      </c>
      <c r="D143" t="str">
        <f t="shared" si="9"/>
        <v/>
      </c>
      <c r="E143" t="str">
        <f t="shared" si="10"/>
        <v/>
      </c>
      <c r="F143" t="str">
        <f t="shared" si="11"/>
        <v/>
      </c>
    </row>
    <row r="144" spans="3:6" x14ac:dyDescent="0.25">
      <c r="C144" t="str">
        <f t="shared" si="8"/>
        <v/>
      </c>
      <c r="D144" t="str">
        <f t="shared" si="9"/>
        <v/>
      </c>
      <c r="E144" t="str">
        <f t="shared" si="10"/>
        <v/>
      </c>
      <c r="F144" t="str">
        <f t="shared" si="11"/>
        <v/>
      </c>
    </row>
    <row r="145" spans="3:6" x14ac:dyDescent="0.25">
      <c r="C145" t="str">
        <f t="shared" si="8"/>
        <v/>
      </c>
      <c r="D145" t="str">
        <f t="shared" si="9"/>
        <v/>
      </c>
      <c r="E145" t="str">
        <f t="shared" si="10"/>
        <v/>
      </c>
      <c r="F145" t="str">
        <f t="shared" si="11"/>
        <v/>
      </c>
    </row>
    <row r="146" spans="3:6" x14ac:dyDescent="0.25">
      <c r="C146" t="str">
        <f t="shared" si="8"/>
        <v/>
      </c>
      <c r="D146" t="str">
        <f t="shared" si="9"/>
        <v/>
      </c>
      <c r="E146" t="str">
        <f t="shared" si="10"/>
        <v/>
      </c>
      <c r="F146" t="str">
        <f t="shared" si="11"/>
        <v/>
      </c>
    </row>
    <row r="147" spans="3:6" x14ac:dyDescent="0.25">
      <c r="C147" t="str">
        <f t="shared" si="8"/>
        <v/>
      </c>
      <c r="D147" t="str">
        <f t="shared" si="9"/>
        <v/>
      </c>
      <c r="E147" t="str">
        <f t="shared" si="10"/>
        <v/>
      </c>
      <c r="F147" t="str">
        <f t="shared" si="11"/>
        <v/>
      </c>
    </row>
    <row r="148" spans="3:6" x14ac:dyDescent="0.25">
      <c r="C148" t="str">
        <f t="shared" si="8"/>
        <v/>
      </c>
      <c r="D148" t="str">
        <f t="shared" si="9"/>
        <v/>
      </c>
      <c r="E148" t="str">
        <f t="shared" si="10"/>
        <v/>
      </c>
      <c r="F148" t="str">
        <f t="shared" si="11"/>
        <v/>
      </c>
    </row>
    <row r="149" spans="3:6" x14ac:dyDescent="0.25">
      <c r="C149" t="str">
        <f t="shared" si="8"/>
        <v/>
      </c>
      <c r="D149" t="str">
        <f t="shared" si="9"/>
        <v/>
      </c>
      <c r="E149" t="str">
        <f t="shared" si="10"/>
        <v/>
      </c>
      <c r="F149" t="str">
        <f t="shared" si="11"/>
        <v/>
      </c>
    </row>
    <row r="150" spans="3:6" x14ac:dyDescent="0.25">
      <c r="C150" t="str">
        <f t="shared" si="8"/>
        <v/>
      </c>
      <c r="D150" t="str">
        <f t="shared" si="9"/>
        <v/>
      </c>
      <c r="E150" t="str">
        <f t="shared" si="10"/>
        <v/>
      </c>
      <c r="F150" t="str">
        <f t="shared" si="11"/>
        <v/>
      </c>
    </row>
    <row r="151" spans="3:6" x14ac:dyDescent="0.25">
      <c r="C151" t="str">
        <f t="shared" si="8"/>
        <v/>
      </c>
      <c r="D151" t="str">
        <f t="shared" si="9"/>
        <v/>
      </c>
      <c r="E151" t="str">
        <f t="shared" si="10"/>
        <v/>
      </c>
      <c r="F151" t="str">
        <f t="shared" si="11"/>
        <v/>
      </c>
    </row>
    <row r="152" spans="3:6" x14ac:dyDescent="0.25">
      <c r="C152" t="str">
        <f t="shared" si="8"/>
        <v/>
      </c>
      <c r="D152" t="str">
        <f t="shared" si="9"/>
        <v/>
      </c>
      <c r="E152" t="str">
        <f t="shared" si="10"/>
        <v/>
      </c>
      <c r="F152" t="str">
        <f t="shared" si="11"/>
        <v/>
      </c>
    </row>
    <row r="153" spans="3:6" x14ac:dyDescent="0.25">
      <c r="C153" t="str">
        <f t="shared" si="8"/>
        <v/>
      </c>
      <c r="D153" t="str">
        <f t="shared" si="9"/>
        <v/>
      </c>
      <c r="E153" t="str">
        <f t="shared" si="10"/>
        <v/>
      </c>
      <c r="F153" t="str">
        <f t="shared" si="11"/>
        <v/>
      </c>
    </row>
    <row r="154" spans="3:6" x14ac:dyDescent="0.25">
      <c r="C154" t="str">
        <f t="shared" si="8"/>
        <v/>
      </c>
      <c r="D154" t="str">
        <f t="shared" si="9"/>
        <v/>
      </c>
      <c r="E154" t="str">
        <f t="shared" si="10"/>
        <v/>
      </c>
      <c r="F154" t="str">
        <f t="shared" si="11"/>
        <v/>
      </c>
    </row>
    <row r="155" spans="3:6" x14ac:dyDescent="0.25">
      <c r="C155" t="str">
        <f t="shared" si="8"/>
        <v/>
      </c>
      <c r="D155" t="str">
        <f t="shared" si="9"/>
        <v/>
      </c>
      <c r="E155" t="str">
        <f t="shared" si="10"/>
        <v/>
      </c>
      <c r="F155" t="str">
        <f t="shared" si="11"/>
        <v/>
      </c>
    </row>
    <row r="156" spans="3:6" x14ac:dyDescent="0.25">
      <c r="C156" t="str">
        <f t="shared" si="8"/>
        <v/>
      </c>
      <c r="D156" t="str">
        <f t="shared" si="9"/>
        <v/>
      </c>
      <c r="E156" t="str">
        <f t="shared" si="10"/>
        <v/>
      </c>
      <c r="F156" t="str">
        <f t="shared" si="11"/>
        <v/>
      </c>
    </row>
    <row r="157" spans="3:6" x14ac:dyDescent="0.25">
      <c r="C157" t="str">
        <f t="shared" si="8"/>
        <v/>
      </c>
      <c r="D157" t="str">
        <f t="shared" si="9"/>
        <v/>
      </c>
      <c r="E157" t="str">
        <f t="shared" si="10"/>
        <v/>
      </c>
      <c r="F157" t="str">
        <f t="shared" si="11"/>
        <v/>
      </c>
    </row>
    <row r="158" spans="3:6" x14ac:dyDescent="0.25">
      <c r="C158" t="str">
        <f t="shared" si="8"/>
        <v/>
      </c>
      <c r="D158" t="str">
        <f t="shared" si="9"/>
        <v/>
      </c>
      <c r="E158" t="str">
        <f t="shared" si="10"/>
        <v/>
      </c>
      <c r="F158" t="str">
        <f t="shared" si="11"/>
        <v/>
      </c>
    </row>
    <row r="159" spans="3:6" x14ac:dyDescent="0.25">
      <c r="C159" t="str">
        <f t="shared" si="8"/>
        <v/>
      </c>
      <c r="D159" t="str">
        <f t="shared" si="9"/>
        <v/>
      </c>
      <c r="E159" t="str">
        <f t="shared" si="10"/>
        <v/>
      </c>
      <c r="F159" t="str">
        <f t="shared" si="11"/>
        <v/>
      </c>
    </row>
    <row r="160" spans="3:6" x14ac:dyDescent="0.25">
      <c r="C160" t="str">
        <f t="shared" si="8"/>
        <v/>
      </c>
      <c r="D160" t="str">
        <f t="shared" si="9"/>
        <v/>
      </c>
      <c r="E160" t="str">
        <f t="shared" si="10"/>
        <v/>
      </c>
      <c r="F160" t="str">
        <f t="shared" si="11"/>
        <v/>
      </c>
    </row>
    <row r="161" spans="3:6" x14ac:dyDescent="0.25">
      <c r="C161" t="str">
        <f t="shared" si="8"/>
        <v/>
      </c>
      <c r="D161" t="str">
        <f t="shared" si="9"/>
        <v/>
      </c>
      <c r="E161" t="str">
        <f t="shared" si="10"/>
        <v/>
      </c>
      <c r="F161" t="str">
        <f t="shared" si="11"/>
        <v/>
      </c>
    </row>
    <row r="162" spans="3:6" x14ac:dyDescent="0.25">
      <c r="C162" t="str">
        <f t="shared" si="8"/>
        <v/>
      </c>
      <c r="D162" t="str">
        <f t="shared" si="9"/>
        <v/>
      </c>
      <c r="E162" t="str">
        <f t="shared" si="10"/>
        <v/>
      </c>
      <c r="F162" t="str">
        <f t="shared" si="11"/>
        <v/>
      </c>
    </row>
    <row r="163" spans="3:6" x14ac:dyDescent="0.25">
      <c r="C163" t="str">
        <f t="shared" si="8"/>
        <v/>
      </c>
      <c r="D163" t="str">
        <f t="shared" si="9"/>
        <v/>
      </c>
      <c r="E163" t="str">
        <f t="shared" si="10"/>
        <v/>
      </c>
      <c r="F163" t="str">
        <f t="shared" si="11"/>
        <v/>
      </c>
    </row>
    <row r="164" spans="3:6" x14ac:dyDescent="0.25">
      <c r="C164" t="str">
        <f t="shared" si="8"/>
        <v/>
      </c>
      <c r="D164" t="str">
        <f t="shared" si="9"/>
        <v/>
      </c>
      <c r="E164" t="str">
        <f t="shared" si="10"/>
        <v/>
      </c>
      <c r="F164" t="str">
        <f t="shared" si="11"/>
        <v/>
      </c>
    </row>
    <row r="165" spans="3:6" x14ac:dyDescent="0.25">
      <c r="C165" t="str">
        <f t="shared" si="8"/>
        <v/>
      </c>
      <c r="D165" t="str">
        <f t="shared" si="9"/>
        <v/>
      </c>
      <c r="E165" t="str">
        <f t="shared" si="10"/>
        <v/>
      </c>
      <c r="F165" t="str">
        <f t="shared" si="11"/>
        <v/>
      </c>
    </row>
    <row r="166" spans="3:6" x14ac:dyDescent="0.25">
      <c r="C166" t="str">
        <f t="shared" si="8"/>
        <v/>
      </c>
      <c r="D166" t="str">
        <f t="shared" si="9"/>
        <v/>
      </c>
      <c r="E166" t="str">
        <f t="shared" si="10"/>
        <v/>
      </c>
      <c r="F166" t="str">
        <f t="shared" si="11"/>
        <v/>
      </c>
    </row>
    <row r="167" spans="3:6" x14ac:dyDescent="0.25">
      <c r="C167" t="str">
        <f t="shared" si="8"/>
        <v/>
      </c>
      <c r="D167" t="str">
        <f t="shared" si="9"/>
        <v/>
      </c>
      <c r="E167" t="str">
        <f t="shared" si="10"/>
        <v/>
      </c>
      <c r="F167" t="str">
        <f t="shared" si="11"/>
        <v/>
      </c>
    </row>
    <row r="168" spans="3:6" x14ac:dyDescent="0.25">
      <c r="C168" t="str">
        <f t="shared" si="8"/>
        <v/>
      </c>
      <c r="D168" t="str">
        <f t="shared" si="9"/>
        <v/>
      </c>
      <c r="E168" t="str">
        <f t="shared" si="10"/>
        <v/>
      </c>
      <c r="F168" t="str">
        <f t="shared" si="11"/>
        <v/>
      </c>
    </row>
    <row r="169" spans="3:6" x14ac:dyDescent="0.25">
      <c r="C169" t="str">
        <f t="shared" si="8"/>
        <v/>
      </c>
      <c r="D169" t="str">
        <f t="shared" si="9"/>
        <v/>
      </c>
      <c r="E169" t="str">
        <f t="shared" si="10"/>
        <v/>
      </c>
      <c r="F169" t="str">
        <f t="shared" si="11"/>
        <v/>
      </c>
    </row>
    <row r="170" spans="3:6" x14ac:dyDescent="0.25">
      <c r="C170" t="str">
        <f t="shared" si="8"/>
        <v/>
      </c>
      <c r="D170" t="str">
        <f t="shared" si="9"/>
        <v/>
      </c>
      <c r="E170" t="str">
        <f t="shared" si="10"/>
        <v/>
      </c>
      <c r="F170" t="str">
        <f t="shared" si="11"/>
        <v/>
      </c>
    </row>
    <row r="171" spans="3:6" x14ac:dyDescent="0.25">
      <c r="C171" t="str">
        <f t="shared" si="8"/>
        <v/>
      </c>
      <c r="D171" t="str">
        <f t="shared" si="9"/>
        <v/>
      </c>
      <c r="E171" t="str">
        <f t="shared" si="10"/>
        <v/>
      </c>
      <c r="F171" t="str">
        <f t="shared" si="11"/>
        <v/>
      </c>
    </row>
    <row r="172" spans="3:6" x14ac:dyDescent="0.25">
      <c r="C172" t="str">
        <f t="shared" si="8"/>
        <v/>
      </c>
      <c r="D172" t="str">
        <f t="shared" si="9"/>
        <v/>
      </c>
      <c r="E172" t="str">
        <f t="shared" si="10"/>
        <v/>
      </c>
      <c r="F172" t="str">
        <f t="shared" si="11"/>
        <v/>
      </c>
    </row>
    <row r="173" spans="3:6" x14ac:dyDescent="0.25">
      <c r="C173" t="str">
        <f t="shared" si="8"/>
        <v/>
      </c>
      <c r="D173" t="str">
        <f t="shared" si="9"/>
        <v/>
      </c>
      <c r="E173" t="str">
        <f t="shared" si="10"/>
        <v/>
      </c>
      <c r="F173" t="str">
        <f t="shared" si="11"/>
        <v/>
      </c>
    </row>
    <row r="174" spans="3:6" x14ac:dyDescent="0.25">
      <c r="C174" t="str">
        <f t="shared" si="8"/>
        <v/>
      </c>
      <c r="D174" t="str">
        <f t="shared" si="9"/>
        <v/>
      </c>
      <c r="E174" t="str">
        <f t="shared" si="10"/>
        <v/>
      </c>
      <c r="F174" t="str">
        <f t="shared" si="11"/>
        <v/>
      </c>
    </row>
    <row r="175" spans="3:6" x14ac:dyDescent="0.25">
      <c r="C175" t="str">
        <f t="shared" si="8"/>
        <v/>
      </c>
      <c r="D175" t="str">
        <f t="shared" si="9"/>
        <v/>
      </c>
      <c r="E175" t="str">
        <f t="shared" si="10"/>
        <v/>
      </c>
      <c r="F175" t="str">
        <f t="shared" si="11"/>
        <v/>
      </c>
    </row>
    <row r="176" spans="3:6" x14ac:dyDescent="0.25">
      <c r="C176" t="str">
        <f t="shared" si="8"/>
        <v/>
      </c>
      <c r="D176" t="str">
        <f t="shared" si="9"/>
        <v/>
      </c>
      <c r="E176" t="str">
        <f t="shared" si="10"/>
        <v/>
      </c>
      <c r="F176" t="str">
        <f t="shared" si="11"/>
        <v/>
      </c>
    </row>
    <row r="177" spans="3:6" x14ac:dyDescent="0.25">
      <c r="C177" t="str">
        <f t="shared" si="8"/>
        <v/>
      </c>
      <c r="D177" t="str">
        <f t="shared" si="9"/>
        <v/>
      </c>
      <c r="E177" t="str">
        <f t="shared" si="10"/>
        <v/>
      </c>
      <c r="F177" t="str">
        <f t="shared" si="11"/>
        <v/>
      </c>
    </row>
    <row r="178" spans="3:6" x14ac:dyDescent="0.25">
      <c r="C178" t="str">
        <f t="shared" si="8"/>
        <v/>
      </c>
      <c r="D178" t="str">
        <f t="shared" si="9"/>
        <v/>
      </c>
      <c r="E178" t="str">
        <f t="shared" si="10"/>
        <v/>
      </c>
      <c r="F178" t="str">
        <f t="shared" si="11"/>
        <v/>
      </c>
    </row>
    <row r="179" spans="3:6" x14ac:dyDescent="0.25">
      <c r="C179" t="str">
        <f t="shared" si="8"/>
        <v/>
      </c>
      <c r="D179" t="str">
        <f t="shared" si="9"/>
        <v/>
      </c>
      <c r="E179" t="str">
        <f t="shared" si="10"/>
        <v/>
      </c>
      <c r="F179" t="str">
        <f t="shared" si="11"/>
        <v/>
      </c>
    </row>
    <row r="180" spans="3:6" x14ac:dyDescent="0.25">
      <c r="C180" t="str">
        <f t="shared" si="8"/>
        <v/>
      </c>
      <c r="D180" t="str">
        <f t="shared" si="9"/>
        <v/>
      </c>
      <c r="E180" t="str">
        <f t="shared" si="10"/>
        <v/>
      </c>
      <c r="F180" t="str">
        <f t="shared" si="11"/>
        <v/>
      </c>
    </row>
    <row r="181" spans="3:6" x14ac:dyDescent="0.25">
      <c r="C181" t="str">
        <f t="shared" si="8"/>
        <v/>
      </c>
      <c r="D181" t="str">
        <f t="shared" si="9"/>
        <v/>
      </c>
      <c r="E181" t="str">
        <f t="shared" si="10"/>
        <v/>
      </c>
      <c r="F181" t="str">
        <f t="shared" si="11"/>
        <v/>
      </c>
    </row>
    <row r="182" spans="3:6" x14ac:dyDescent="0.25">
      <c r="C182" t="str">
        <f t="shared" si="8"/>
        <v/>
      </c>
      <c r="D182" t="str">
        <f t="shared" si="9"/>
        <v/>
      </c>
      <c r="E182" t="str">
        <f t="shared" si="10"/>
        <v/>
      </c>
      <c r="F182" t="str">
        <f t="shared" si="11"/>
        <v/>
      </c>
    </row>
    <row r="183" spans="3:6" x14ac:dyDescent="0.25">
      <c r="C183" t="str">
        <f t="shared" si="8"/>
        <v/>
      </c>
      <c r="D183" t="str">
        <f t="shared" si="9"/>
        <v/>
      </c>
      <c r="E183" t="str">
        <f t="shared" si="10"/>
        <v/>
      </c>
      <c r="F183" t="str">
        <f t="shared" si="11"/>
        <v/>
      </c>
    </row>
    <row r="184" spans="3:6" x14ac:dyDescent="0.25">
      <c r="C184" t="str">
        <f t="shared" si="8"/>
        <v/>
      </c>
      <c r="D184" t="str">
        <f t="shared" si="9"/>
        <v/>
      </c>
      <c r="E184" t="str">
        <f t="shared" si="10"/>
        <v/>
      </c>
      <c r="F184" t="str">
        <f t="shared" si="11"/>
        <v/>
      </c>
    </row>
    <row r="185" spans="3:6" x14ac:dyDescent="0.25">
      <c r="C185" t="str">
        <f t="shared" si="8"/>
        <v/>
      </c>
      <c r="D185" t="str">
        <f t="shared" si="9"/>
        <v/>
      </c>
      <c r="E185" t="str">
        <f t="shared" si="10"/>
        <v/>
      </c>
      <c r="F185" t="str">
        <f t="shared" si="11"/>
        <v/>
      </c>
    </row>
    <row r="186" spans="3:6" x14ac:dyDescent="0.25">
      <c r="C186" t="str">
        <f t="shared" si="8"/>
        <v/>
      </c>
      <c r="D186" t="str">
        <f t="shared" si="9"/>
        <v/>
      </c>
      <c r="E186" t="str">
        <f t="shared" si="10"/>
        <v/>
      </c>
      <c r="F186" t="str">
        <f t="shared" si="11"/>
        <v/>
      </c>
    </row>
    <row r="187" spans="3:6" x14ac:dyDescent="0.25">
      <c r="C187" t="str">
        <f t="shared" si="8"/>
        <v/>
      </c>
      <c r="D187" t="str">
        <f t="shared" si="9"/>
        <v/>
      </c>
      <c r="E187" t="str">
        <f t="shared" si="10"/>
        <v/>
      </c>
      <c r="F187" t="str">
        <f t="shared" si="11"/>
        <v/>
      </c>
    </row>
    <row r="188" spans="3:6" x14ac:dyDescent="0.25">
      <c r="C188" t="str">
        <f t="shared" si="8"/>
        <v/>
      </c>
      <c r="D188" t="str">
        <f t="shared" si="9"/>
        <v/>
      </c>
      <c r="E188" t="str">
        <f t="shared" si="10"/>
        <v/>
      </c>
      <c r="F188" t="str">
        <f t="shared" si="11"/>
        <v/>
      </c>
    </row>
    <row r="189" spans="3:6" x14ac:dyDescent="0.25">
      <c r="C189" t="str">
        <f t="shared" si="8"/>
        <v/>
      </c>
      <c r="D189" t="str">
        <f t="shared" si="9"/>
        <v/>
      </c>
      <c r="E189" t="str">
        <f t="shared" si="10"/>
        <v/>
      </c>
      <c r="F189" t="str">
        <f t="shared" si="11"/>
        <v/>
      </c>
    </row>
    <row r="190" spans="3:6" x14ac:dyDescent="0.25">
      <c r="C190" t="str">
        <f t="shared" si="8"/>
        <v/>
      </c>
      <c r="D190" t="str">
        <f t="shared" si="9"/>
        <v/>
      </c>
      <c r="E190" t="str">
        <f t="shared" si="10"/>
        <v/>
      </c>
      <c r="F190" t="str">
        <f t="shared" si="11"/>
        <v/>
      </c>
    </row>
    <row r="191" spans="3:6" x14ac:dyDescent="0.25">
      <c r="C191" t="str">
        <f t="shared" si="8"/>
        <v/>
      </c>
      <c r="D191" t="str">
        <f t="shared" si="9"/>
        <v/>
      </c>
      <c r="E191" t="str">
        <f t="shared" si="10"/>
        <v/>
      </c>
      <c r="F191" t="str">
        <f t="shared" si="11"/>
        <v/>
      </c>
    </row>
    <row r="192" spans="3:6" x14ac:dyDescent="0.25">
      <c r="C192" t="str">
        <f t="shared" si="8"/>
        <v/>
      </c>
      <c r="D192" t="str">
        <f t="shared" si="9"/>
        <v/>
      </c>
      <c r="E192" t="str">
        <f t="shared" si="10"/>
        <v/>
      </c>
      <c r="F192" t="str">
        <f t="shared" si="11"/>
        <v/>
      </c>
    </row>
    <row r="193" spans="3:6" x14ac:dyDescent="0.25">
      <c r="C193" t="str">
        <f t="shared" si="8"/>
        <v/>
      </c>
      <c r="D193" t="str">
        <f t="shared" si="9"/>
        <v/>
      </c>
      <c r="E193" t="str">
        <f t="shared" si="10"/>
        <v/>
      </c>
      <c r="F193" t="str">
        <f t="shared" si="11"/>
        <v/>
      </c>
    </row>
    <row r="194" spans="3:6" x14ac:dyDescent="0.25">
      <c r="C194" t="str">
        <f t="shared" si="8"/>
        <v/>
      </c>
      <c r="D194" t="str">
        <f t="shared" si="9"/>
        <v/>
      </c>
      <c r="E194" t="str">
        <f t="shared" si="10"/>
        <v/>
      </c>
      <c r="F194" t="str">
        <f t="shared" si="11"/>
        <v/>
      </c>
    </row>
    <row r="195" spans="3:6" x14ac:dyDescent="0.25">
      <c r="C195" t="str">
        <f t="shared" si="8"/>
        <v/>
      </c>
      <c r="D195" t="str">
        <f t="shared" si="9"/>
        <v/>
      </c>
      <c r="E195" t="str">
        <f t="shared" si="10"/>
        <v/>
      </c>
      <c r="F195" t="str">
        <f t="shared" si="11"/>
        <v/>
      </c>
    </row>
    <row r="196" spans="3:6" x14ac:dyDescent="0.25">
      <c r="C196" t="str">
        <f t="shared" ref="C196:C200" si="12">IF(A196&lt;&gt;"",ROUND(_xlfn.NUMBERVALUE(LEFT($B196,FIND(":",$B196)-1)),2),"")</f>
        <v/>
      </c>
      <c r="D196" t="str">
        <f t="shared" ref="D196:D200" si="13">IF(A196&lt;&gt;"",ROUND(_xlfn.NUMBERVALUE(MID($B196,FIND(":",$B196)+1,LEN($B196))),2),"")</f>
        <v/>
      </c>
      <c r="E196" t="str">
        <f t="shared" ref="E196:E200" si="14">IF(A196&lt;&gt;"",ROUND(_xlfn.NUMBERVALUE(LEFT($B196,FIND(":",$B196)-1))*25.4,2),"")</f>
        <v/>
      </c>
      <c r="F196" t="str">
        <f t="shared" ref="F196:F200" si="15">IF(A196&lt;&gt;"",ROUND(_xlfn.NUMBERVALUE(MID($B196,FIND(":",$B196)+1,LEN($B196)))*25.4,2),"")</f>
        <v/>
      </c>
    </row>
    <row r="197" spans="3:6" x14ac:dyDescent="0.25">
      <c r="C197" t="str">
        <f t="shared" si="12"/>
        <v/>
      </c>
      <c r="D197" t="str">
        <f t="shared" si="13"/>
        <v/>
      </c>
      <c r="E197" t="str">
        <f t="shared" si="14"/>
        <v/>
      </c>
      <c r="F197" t="str">
        <f t="shared" si="15"/>
        <v/>
      </c>
    </row>
    <row r="198" spans="3:6" x14ac:dyDescent="0.25">
      <c r="C198" t="str">
        <f t="shared" si="12"/>
        <v/>
      </c>
      <c r="D198" t="str">
        <f t="shared" si="13"/>
        <v/>
      </c>
      <c r="E198" t="str">
        <f t="shared" si="14"/>
        <v/>
      </c>
      <c r="F198" t="str">
        <f t="shared" si="15"/>
        <v/>
      </c>
    </row>
    <row r="199" spans="3:6" x14ac:dyDescent="0.25">
      <c r="C199" t="str">
        <f t="shared" si="12"/>
        <v/>
      </c>
      <c r="D199" t="str">
        <f t="shared" si="13"/>
        <v/>
      </c>
      <c r="E199" t="str">
        <f t="shared" si="14"/>
        <v/>
      </c>
      <c r="F199" t="str">
        <f t="shared" si="15"/>
        <v/>
      </c>
    </row>
    <row r="200" spans="3:6" x14ac:dyDescent="0.25">
      <c r="C200" t="str">
        <f t="shared" si="12"/>
        <v/>
      </c>
      <c r="D200" t="str">
        <f t="shared" si="13"/>
        <v/>
      </c>
      <c r="E200" t="str">
        <f t="shared" si="14"/>
        <v/>
      </c>
      <c r="F200" t="str">
        <f t="shared" si="15"/>
        <v/>
      </c>
    </row>
  </sheetData>
  <mergeCells count="2">
    <mergeCell ref="C1:D1"/>
    <mergeCell ref="E1:F1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D7"/>
  <sheetViews>
    <sheetView workbookViewId="0">
      <selection activeCell="I25" sqref="I25"/>
    </sheetView>
  </sheetViews>
  <sheetFormatPr defaultRowHeight="15" x14ac:dyDescent="0.25"/>
  <cols>
    <col min="1" max="1" width="16.7109375" customWidth="1"/>
  </cols>
  <sheetData>
    <row r="1" spans="1:4" x14ac:dyDescent="0.25">
      <c r="A1" s="1" t="s">
        <v>26</v>
      </c>
      <c r="B1" s="10">
        <v>0.1</v>
      </c>
      <c r="C1" t="s">
        <v>25</v>
      </c>
    </row>
    <row r="2" spans="1:4" x14ac:dyDescent="0.25">
      <c r="B2" s="9" t="s">
        <v>24</v>
      </c>
      <c r="C2" s="9" t="s">
        <v>23</v>
      </c>
      <c r="D2" s="9" t="s">
        <v>22</v>
      </c>
    </row>
    <row r="3" spans="1:4" x14ac:dyDescent="0.25">
      <c r="A3" s="1" t="s">
        <v>21</v>
      </c>
      <c r="B3" s="8">
        <v>1.45</v>
      </c>
      <c r="C3" s="7">
        <v>0.25</v>
      </c>
      <c r="D3" s="4">
        <f>(2*(B3-C3)+PI()*C3)*B1</f>
        <v>0.31853981633974482</v>
      </c>
    </row>
    <row r="4" spans="1:4" x14ac:dyDescent="0.25">
      <c r="A4" s="1" t="s">
        <v>20</v>
      </c>
      <c r="B4" s="6">
        <v>1.5</v>
      </c>
      <c r="C4" s="5">
        <v>0.3</v>
      </c>
      <c r="D4" s="4">
        <f>B4*C4</f>
        <v>0.44999999999999996</v>
      </c>
    </row>
    <row r="6" spans="1:4" x14ac:dyDescent="0.25">
      <c r="A6" s="1" t="s">
        <v>19</v>
      </c>
      <c r="B6" s="2">
        <f>C3/B1</f>
        <v>2.5</v>
      </c>
      <c r="D6" s="3" t="s">
        <v>18</v>
      </c>
    </row>
    <row r="7" spans="1:4" x14ac:dyDescent="0.25">
      <c r="A7" s="1" t="s">
        <v>17</v>
      </c>
      <c r="B7" s="2">
        <f>D4/D3</f>
        <v>1.4126962373835354</v>
      </c>
      <c r="D7" t="s">
        <v>16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Project Data</vt:lpstr>
      <vt:lpstr>PNPwizard</vt:lpstr>
      <vt:lpstr>Chart</vt:lpstr>
      <vt:lpstr>BOMsorter</vt:lpstr>
      <vt:lpstr>Centroid to XY</vt:lpstr>
      <vt:lpstr>StencilCalc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Rubik</dc:creator>
  <cp:lastModifiedBy>Ilya Anoshko</cp:lastModifiedBy>
  <cp:lastPrinted>2017-05-29T08:54:36Z</cp:lastPrinted>
  <dcterms:created xsi:type="dcterms:W3CDTF">2017-03-30T05:36:51Z</dcterms:created>
  <dcterms:modified xsi:type="dcterms:W3CDTF">2026-08-04T06:35:43Z</dcterms:modified>
</cp:coreProperties>
</file>